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 yWindow="48" windowWidth="24852" windowHeight="12288" tabRatio="874" activeTab="32"/>
  </bookViews>
  <sheets>
    <sheet name="Index" sheetId="84" r:id="rId1"/>
    <sheet name="1" sheetId="61" r:id="rId2"/>
    <sheet name="2" sheetId="62" r:id="rId3"/>
    <sheet name="3" sheetId="15" r:id="rId4"/>
    <sheet name="4" sheetId="9" r:id="rId5"/>
    <sheet name="5.1" sheetId="60" r:id="rId6"/>
    <sheet name="5.2" sheetId="86" r:id="rId7"/>
    <sheet name="6.1" sheetId="94" r:id="rId8"/>
    <sheet name="6.2" sheetId="92" r:id="rId9"/>
    <sheet name="7" sheetId="91" r:id="rId10"/>
    <sheet name="8.1" sheetId="87" r:id="rId11"/>
    <sheet name="8.2" sheetId="65" r:id="rId12"/>
    <sheet name="9.1" sheetId="88" r:id="rId13"/>
    <sheet name="9.2" sheetId="89" r:id="rId14"/>
    <sheet name="9.4" sheetId="66" r:id="rId15"/>
    <sheet name="10.1" sheetId="90" r:id="rId16"/>
    <sheet name="10.2" sheetId="67" r:id="rId17"/>
    <sheet name="11" sheetId="75" r:id="rId18"/>
    <sheet name="12" sheetId="76" r:id="rId19"/>
    <sheet name="13" sheetId="77" r:id="rId20"/>
    <sheet name="14" sheetId="78" r:id="rId21"/>
    <sheet name="16" sheetId="79" r:id="rId22"/>
    <sheet name="17.01" sheetId="99" r:id="rId23"/>
    <sheet name="17.02" sheetId="100" r:id="rId24"/>
    <sheet name="18 " sheetId="68" r:id="rId25"/>
    <sheet name="19" sheetId="69" r:id="rId26"/>
    <sheet name="20" sheetId="70" r:id="rId27"/>
    <sheet name="21" sheetId="71" r:id="rId28"/>
    <sheet name="22" sheetId="72" r:id="rId29"/>
    <sheet name="23" sheetId="73" r:id="rId30"/>
    <sheet name="24" sheetId="74" r:id="rId31"/>
    <sheet name="25" sheetId="81" r:id="rId32"/>
    <sheet name="33" sheetId="101" r:id="rId33"/>
  </sheets>
  <definedNames>
    <definedName name="_xlnm.Print_Area" localSheetId="1">'1'!$B$2:$E$104</definedName>
    <definedName name="_xlnm.Print_Area" localSheetId="18">'12'!$B$2:$AP$37</definedName>
    <definedName name="_xlnm.Print_Area" localSheetId="19">'13'!$B$2:$AX$62</definedName>
    <definedName name="_xlnm.Print_Area" localSheetId="20">'14'!$B$2:$AX$10</definedName>
    <definedName name="_xlnm.Print_Area" localSheetId="24">'18 '!$A$1:$M$53</definedName>
    <definedName name="_xlnm.Print_Area" localSheetId="25">'19'!$B$2:$BN$29</definedName>
    <definedName name="_xlnm.Print_Area" localSheetId="2">'2'!$B$2:$E$81</definedName>
    <definedName name="_xlnm.Print_Area" localSheetId="26">'20'!$B$2:$AX$21</definedName>
    <definedName name="_xlnm.Print_Area" localSheetId="30">'24'!$B$2:$T$18</definedName>
    <definedName name="_xlnm.Print_Area" localSheetId="4">'4'!$B$2:$E$132</definedName>
    <definedName name="_xlnm.Print_Area" localSheetId="5">'5.1'!$B$2:$J$50</definedName>
    <definedName name="_xlnm.Print_Area" localSheetId="6">'5.2'!$B$1:$J$19</definedName>
    <definedName name="_xlnm.Print_Area" localSheetId="7">'6.1'!$A$1:$AB$11</definedName>
    <definedName name="_xlnm.Print_Area" localSheetId="8">'6.2'!$B$2:$AX$10</definedName>
    <definedName name="_xlnm.Print_Area" localSheetId="9">'7'!$B$2:$AA$47</definedName>
    <definedName name="_xlnm.Print_Area" localSheetId="10">'8.1'!$B$2:$AH$34</definedName>
    <definedName name="_xlnm.Print_Area" localSheetId="11">'8.2'!$B$2:$AG$13</definedName>
    <definedName name="_xlnm.Print_Titles" localSheetId="1">'1'!$2:$4</definedName>
    <definedName name="_xlnm.Print_Titles" localSheetId="18">'12'!$B:$C,'12'!$2:$3</definedName>
    <definedName name="_xlnm.Print_Titles" localSheetId="19">'13'!$B:$C,'13'!$2:$7</definedName>
    <definedName name="_xlnm.Print_Titles" localSheetId="24">'18 '!$2:$9</definedName>
    <definedName name="_xlnm.Print_Titles" localSheetId="25">'19'!$B:$E</definedName>
    <definedName name="_xlnm.Print_Titles" localSheetId="2">'2'!$2:$4</definedName>
    <definedName name="_xlnm.Print_Titles" localSheetId="30">'24'!$B:$D</definedName>
    <definedName name="_xlnm.Print_Titles" localSheetId="4">'4'!$2:$4</definedName>
    <definedName name="_xlnm.Print_Titles" localSheetId="5">'5.1'!$2:$6</definedName>
    <definedName name="_xlnm.Print_Titles" localSheetId="6">'5.2'!$1:$4</definedName>
    <definedName name="_xlnm.Print_Titles" localSheetId="8">'6.2'!#REF!,'6.2'!$2:$2</definedName>
    <definedName name="_xlnm.Print_Titles" localSheetId="9">'7'!$B:$C,'7'!$2:$5</definedName>
    <definedName name="_xlnm.Print_Titles" localSheetId="10">'8.1'!$2:$6</definedName>
    <definedName name="_xlnm.Print_Titles" localSheetId="11">'8.2'!#REF!,'8.2'!$2:$2</definedName>
  </definedNames>
  <calcPr calcId="145621"/>
</workbook>
</file>

<file path=xl/calcChain.xml><?xml version="1.0" encoding="utf-8"?>
<calcChain xmlns="http://schemas.openxmlformats.org/spreadsheetml/2006/main">
  <c r="C83" i="61" l="1"/>
  <c r="C103" i="61" s="1"/>
  <c r="C62" i="61"/>
  <c r="C82" i="61" s="1"/>
  <c r="C7" i="61"/>
  <c r="C61" i="61" s="1"/>
  <c r="C27" i="9"/>
  <c r="C26" i="9"/>
  <c r="C81" i="61"/>
  <c r="C96" i="9"/>
  <c r="C97" i="9"/>
  <c r="C86" i="9"/>
  <c r="C87" i="9"/>
  <c r="C76" i="9"/>
  <c r="C77" i="9"/>
  <c r="C65" i="9"/>
  <c r="C66" i="9"/>
  <c r="C55" i="9"/>
  <c r="C56" i="9"/>
  <c r="C45" i="9"/>
  <c r="C46" i="9"/>
  <c r="C93" i="9"/>
  <c r="C95" i="9"/>
  <c r="C90" i="9"/>
  <c r="C91" i="9"/>
  <c r="C83" i="9"/>
  <c r="C84" i="9"/>
  <c r="C80" i="9"/>
  <c r="C82" i="9"/>
  <c r="C73" i="9"/>
  <c r="C75" i="9"/>
  <c r="C70" i="9"/>
  <c r="C71" i="9"/>
  <c r="C62" i="9"/>
  <c r="C64" i="9"/>
  <c r="C59" i="9"/>
  <c r="C60" i="9"/>
  <c r="C52" i="9"/>
  <c r="C54" i="9"/>
  <c r="C49" i="9"/>
  <c r="C51" i="9"/>
  <c r="C42" i="9"/>
  <c r="C44" i="9"/>
  <c r="C39" i="9"/>
  <c r="C41" i="9"/>
  <c r="C24" i="9"/>
  <c r="C20" i="9"/>
  <c r="C23" i="9" s="1"/>
  <c r="C21" i="9"/>
  <c r="C12" i="9"/>
  <c r="C13" i="9"/>
  <c r="C11" i="9"/>
  <c r="C9" i="9"/>
  <c r="C8" i="9"/>
  <c r="C7" i="9"/>
  <c r="C92" i="9"/>
  <c r="C63" i="9"/>
  <c r="C97" i="61"/>
  <c r="C100" i="61"/>
  <c r="C93" i="61"/>
  <c r="C94" i="61"/>
  <c r="C99" i="61"/>
  <c r="C63" i="61"/>
  <c r="C66" i="61" s="1"/>
  <c r="C104" i="61"/>
  <c r="C101" i="61"/>
  <c r="C96" i="61"/>
  <c r="C95" i="61"/>
  <c r="C102" i="61"/>
  <c r="C84" i="61"/>
  <c r="C87" i="61"/>
  <c r="C51" i="61"/>
  <c r="C50" i="61"/>
  <c r="C49" i="61"/>
  <c r="C23" i="61"/>
  <c r="C53" i="61"/>
  <c r="C8" i="61"/>
  <c r="C13" i="61" s="1"/>
  <c r="C44" i="61"/>
  <c r="C47" i="61" s="1"/>
  <c r="C43" i="61"/>
  <c r="C29" i="61"/>
  <c r="C30" i="61"/>
  <c r="C58" i="61"/>
  <c r="C26" i="61"/>
  <c r="C18" i="61"/>
  <c r="C19" i="61"/>
  <c r="C52" i="61"/>
  <c r="C60" i="61"/>
  <c r="C17" i="61"/>
  <c r="C54" i="61"/>
  <c r="C59" i="61"/>
  <c r="C24" i="61"/>
  <c r="C42" i="61"/>
  <c r="C39" i="61"/>
  <c r="C40" i="61" s="1"/>
  <c r="C56" i="61"/>
  <c r="C27" i="61"/>
  <c r="C57" i="61"/>
  <c r="C35" i="61"/>
  <c r="C38" i="61"/>
  <c r="C48" i="61"/>
  <c r="C25" i="61"/>
  <c r="C55" i="61"/>
  <c r="C28" i="61"/>
  <c r="C67" i="61"/>
  <c r="C69" i="61"/>
  <c r="C71" i="61"/>
  <c r="C76" i="61"/>
  <c r="C80" i="61"/>
  <c r="C75" i="61"/>
  <c r="C73" i="61"/>
  <c r="C78" i="61"/>
  <c r="C78" i="9"/>
  <c r="C77" i="61"/>
  <c r="C74" i="61"/>
  <c r="C79" i="61"/>
  <c r="C43" i="9"/>
  <c r="C94" i="9"/>
  <c r="C22" i="9"/>
  <c r="C72" i="61"/>
  <c r="C92" i="61"/>
  <c r="C9" i="61"/>
  <c r="C10" i="61" s="1"/>
  <c r="C45" i="61"/>
  <c r="C34" i="61"/>
  <c r="C31" i="61"/>
  <c r="C20" i="61"/>
  <c r="C21" i="61" s="1"/>
  <c r="C36" i="61"/>
  <c r="C41" i="61"/>
  <c r="C68" i="61"/>
  <c r="C98" i="61"/>
  <c r="C70" i="61"/>
  <c r="C46" i="61"/>
  <c r="C40" i="9"/>
  <c r="C37" i="61"/>
  <c r="C32" i="61"/>
  <c r="C12" i="61"/>
  <c r="C88" i="61"/>
  <c r="C91" i="61" s="1"/>
  <c r="C85" i="61"/>
  <c r="C74" i="9"/>
  <c r="C64" i="61"/>
  <c r="C33" i="61"/>
  <c r="C61" i="9"/>
  <c r="C53" i="9"/>
  <c r="C90" i="61"/>
  <c r="C88" i="9"/>
  <c r="C47" i="9"/>
  <c r="C67" i="9"/>
  <c r="C81" i="9"/>
  <c r="C85" i="9"/>
  <c r="C50" i="9"/>
  <c r="C98" i="9"/>
  <c r="C57" i="9"/>
  <c r="C72" i="9"/>
  <c r="C14" i="9"/>
  <c r="C16" i="61" l="1"/>
  <c r="C14" i="61"/>
  <c r="C15" i="61"/>
  <c r="C89" i="61"/>
  <c r="C22" i="61"/>
</calcChain>
</file>

<file path=xl/sharedStrings.xml><?xml version="1.0" encoding="utf-8"?>
<sst xmlns="http://schemas.openxmlformats.org/spreadsheetml/2006/main" count="3243" uniqueCount="3243">
  <si>
    <r>
      <rPr>
        <b/>
        <sz val="8"/>
        <color rgb="FF000000"/>
        <rFont val="Verdana"/>
        <family val="2"/>
      </rPr>
      <t>FR
ANNEXE I</t>
    </r>
  </si>
  <si>
    <r>
      <rPr>
        <b/>
        <u/>
        <sz val="10"/>
        <color rgb="FF000000"/>
        <rFont val="Verdana"/>
        <family val="2"/>
      </rPr>
      <t>Annexe I</t>
    </r>
    <r>
      <rPr>
        <b/>
        <sz val="10"/>
        <color rgb="FF000000"/>
        <rFont val="Verdana"/>
        <family val="2"/>
      </rPr>
      <t xml:space="preserve"> - DÉCLARATION RELATIVE AUX FONDS PROPRES ET EXIGENCES DE FONDS PROPRES</t>
    </r>
  </si>
  <si>
    <r>
      <rPr>
        <b/>
        <sz val="8"/>
        <rFont val="Verdana"/>
        <family val="2"/>
      </rPr>
      <t>MODÈLES COREP</t>
    </r>
  </si>
  <si>
    <r>
      <rPr>
        <b/>
        <sz val="8"/>
        <rFont val="Verdana"/>
        <family val="2"/>
      </rPr>
      <t>Numéro du modèle</t>
    </r>
  </si>
  <si>
    <r>
      <rPr>
        <b/>
        <sz val="8"/>
        <rFont val="Verdana"/>
        <family val="2"/>
      </rPr>
      <t>Code du modèle</t>
    </r>
  </si>
  <si>
    <r>
      <rPr>
        <b/>
        <sz val="8"/>
        <rFont val="Verdana"/>
        <family val="2"/>
      </rPr>
      <t>Nom du modèle/groupe de modèles</t>
    </r>
  </si>
  <si>
    <r>
      <rPr>
        <b/>
        <sz val="8"/>
        <rFont val="Verdana"/>
        <family val="2"/>
      </rPr>
      <t>Nom abrégé</t>
    </r>
  </si>
  <si>
    <r>
      <rPr>
        <b/>
        <sz val="8"/>
        <rFont val="Verdana"/>
        <family val="2"/>
      </rPr>
      <t>ADÉQUATION DES FONDS PROPRES</t>
    </r>
  </si>
  <si>
    <r>
      <rPr>
        <b/>
        <sz val="8"/>
        <rFont val="Verdana"/>
        <family val="2"/>
      </rPr>
      <t>CA</t>
    </r>
  </si>
  <si>
    <r>
      <rPr>
        <sz val="8"/>
        <color rgb="FF000000"/>
        <rFont val="Verdana"/>
        <family val="2"/>
      </rPr>
      <t>C 01.00</t>
    </r>
  </si>
  <si>
    <r>
      <rPr>
        <sz val="8"/>
        <color rgb="FF000000"/>
        <rFont val="Verdana"/>
        <family val="2"/>
      </rPr>
      <t>FONDS PROPRES</t>
    </r>
  </si>
  <si>
    <r>
      <rPr>
        <sz val="8"/>
        <rFont val="Verdana"/>
        <family val="2"/>
      </rPr>
      <t>CA1</t>
    </r>
  </si>
  <si>
    <r>
      <rPr>
        <sz val="8"/>
        <color rgb="FF000000"/>
        <rFont val="Verdana"/>
        <family val="2"/>
      </rPr>
      <t>C 02.00</t>
    </r>
  </si>
  <si>
    <r>
      <rPr>
        <sz val="8"/>
        <color rgb="FF000000"/>
        <rFont val="Verdana"/>
        <family val="2"/>
      </rPr>
      <t>EXIGENCES DE FONDS PROPRES</t>
    </r>
  </si>
  <si>
    <r>
      <rPr>
        <sz val="8"/>
        <rFont val="Verdana"/>
        <family val="2"/>
      </rPr>
      <t>CA2</t>
    </r>
  </si>
  <si>
    <r>
      <rPr>
        <sz val="8"/>
        <color rgb="FF000000"/>
        <rFont val="Verdana"/>
        <family val="2"/>
      </rPr>
      <t>C 03.00</t>
    </r>
  </si>
  <si>
    <r>
      <rPr>
        <sz val="8"/>
        <color rgb="FF000000"/>
        <rFont val="Verdana"/>
        <family val="2"/>
      </rPr>
      <t>RATIOS DE FONDS PROPRES</t>
    </r>
  </si>
  <si>
    <r>
      <rPr>
        <sz val="8"/>
        <rFont val="Verdana"/>
        <family val="2"/>
      </rPr>
      <t>CA3</t>
    </r>
  </si>
  <si>
    <r>
      <rPr>
        <sz val="8"/>
        <color rgb="FF000000"/>
        <rFont val="Verdana"/>
        <family val="2"/>
      </rPr>
      <t>C 04.00</t>
    </r>
  </si>
  <si>
    <r>
      <rPr>
        <sz val="8"/>
        <color rgb="FF000000"/>
        <rFont val="Verdana"/>
        <family val="2"/>
      </rPr>
      <t>ÉLÉMENTS POUR MÉMOIRE:</t>
    </r>
  </si>
  <si>
    <r>
      <rPr>
        <sz val="8"/>
        <rFont val="Verdana"/>
        <family val="2"/>
      </rPr>
      <t>CA4</t>
    </r>
  </si>
  <si>
    <r>
      <rPr>
        <b/>
        <sz val="8"/>
        <rFont val="Verdana"/>
        <family val="2"/>
      </rPr>
      <t>DISPOSITIONS TRANSITOIRES</t>
    </r>
  </si>
  <si>
    <r>
      <rPr>
        <b/>
        <sz val="8"/>
        <rFont val="Verdana"/>
        <family val="2"/>
      </rPr>
      <t>CA5</t>
    </r>
  </si>
  <si>
    <r>
      <rPr>
        <sz val="8"/>
        <color rgb="FF000000"/>
        <rFont val="Verdana"/>
        <family val="2"/>
      </rPr>
      <t>C 05.01</t>
    </r>
  </si>
  <si>
    <r>
      <rPr>
        <i/>
        <sz val="8"/>
        <rFont val="Verdana"/>
        <family val="2"/>
      </rPr>
      <t>DISPOSITIONS TRANSITOIRES</t>
    </r>
  </si>
  <si>
    <r>
      <rPr>
        <sz val="8"/>
        <rFont val="Verdana"/>
        <family val="2"/>
      </rPr>
      <t>CA5.1</t>
    </r>
  </si>
  <si>
    <r>
      <rPr>
        <sz val="8"/>
        <color rgb="FF000000"/>
        <rFont val="Verdana"/>
        <family val="2"/>
      </rPr>
      <t>C 05.02</t>
    </r>
  </si>
  <si>
    <r>
      <rPr>
        <i/>
        <sz val="8"/>
        <rFont val="Verdana"/>
        <family val="2"/>
      </rPr>
      <t>INSTRUMENTS BÉNÉFICIANT D'UNE CLAUSE D'ANTÉRIORITÉ: INSTRUMENTS NE CONSTITUANT PAS UNE AIDE D'ÉTAT</t>
    </r>
  </si>
  <si>
    <r>
      <rPr>
        <sz val="8"/>
        <rFont val="Verdana"/>
        <family val="2"/>
      </rPr>
      <t>CA5.2</t>
    </r>
  </si>
  <si>
    <r>
      <rPr>
        <b/>
        <sz val="8"/>
        <rFont val="Verdana"/>
        <family val="2"/>
      </rPr>
      <t xml:space="preserve">SOLVABILITÉ DU GROUPE </t>
    </r>
  </si>
  <si>
    <r>
      <rPr>
        <b/>
        <sz val="8"/>
        <rFont val="Verdana"/>
        <family val="2"/>
      </rPr>
      <t>GS</t>
    </r>
  </si>
  <si>
    <r>
      <rPr>
        <sz val="8"/>
        <rFont val="Verdana"/>
        <family val="2"/>
      </rPr>
      <t>C 06.01</t>
    </r>
  </si>
  <si>
    <r>
      <rPr>
        <sz val="8"/>
        <rFont val="Verdana"/>
        <family val="2"/>
      </rPr>
      <t>SOLVABILITÉ DU GROUPE: INFORMATIONS SUR LES FILIALES - TOTAL</t>
    </r>
  </si>
  <si>
    <r>
      <rPr>
        <sz val="8"/>
        <rFont val="Verdana"/>
        <family val="2"/>
      </rPr>
      <t>GS Total</t>
    </r>
  </si>
  <si>
    <r>
      <rPr>
        <sz val="8"/>
        <rFont val="Verdana"/>
        <family val="2"/>
      </rPr>
      <t>C 06.02</t>
    </r>
  </si>
  <si>
    <r>
      <rPr>
        <sz val="8"/>
        <rFont val="Verdana"/>
        <family val="2"/>
      </rPr>
      <t>SOLVABILITÉ DU GROUPE: INFORMATIONS SUR LES FILIALES</t>
    </r>
  </si>
  <si>
    <r>
      <rPr>
        <sz val="8"/>
        <rFont val="Verdana"/>
        <family val="2"/>
      </rPr>
      <t>GS</t>
    </r>
  </si>
  <si>
    <r>
      <rPr>
        <b/>
        <sz val="8"/>
        <rFont val="Verdana"/>
        <family val="2"/>
      </rPr>
      <t>RISQUE DE CRÉDIT</t>
    </r>
  </si>
  <si>
    <r>
      <rPr>
        <b/>
        <sz val="8"/>
        <rFont val="Verdana"/>
        <family val="2"/>
      </rPr>
      <t>CR</t>
    </r>
  </si>
  <si>
    <r>
      <rPr>
        <sz val="8"/>
        <rFont val="Verdana"/>
        <family val="2"/>
      </rPr>
      <t>C 07.00</t>
    </r>
  </si>
  <si>
    <r>
      <rPr>
        <sz val="8"/>
        <rFont val="Verdana"/>
        <family val="2"/>
      </rPr>
      <t>RISQUES DE CRÉDIT ET DE CRÉDIT DE CONTREPARTIE ET POSITIONS DE NÉGOCIATION NON DÉNOUÉES: APPROCHE STANDARD DES EXIGENCES DE FONDS PROPRES</t>
    </r>
  </si>
  <si>
    <r>
      <rPr>
        <sz val="8"/>
        <rFont val="Verdana"/>
        <family val="2"/>
      </rPr>
      <t>CR SA</t>
    </r>
  </si>
  <si>
    <r>
      <rPr>
        <sz val="8"/>
        <rFont val="Verdana"/>
        <family val="2"/>
      </rPr>
      <t>RISQUES DE CRÉDIT ET DE CRÉDIT DE CONTREPARTIE ET POSITIONS DE NÉGOCIATION NON DÉNOUÉES: APPROCHE NI DES EXIGENCES DE FONDS PROPRES</t>
    </r>
  </si>
  <si>
    <r>
      <rPr>
        <sz val="8"/>
        <rFont val="Verdana"/>
        <family val="2"/>
      </rPr>
      <t>CR IRB</t>
    </r>
  </si>
  <si>
    <r>
      <rPr>
        <sz val="8"/>
        <rFont val="Verdana"/>
        <family val="2"/>
      </rPr>
      <t>C 08.01</t>
    </r>
  </si>
  <si>
    <r>
      <rPr>
        <i/>
        <sz val="8"/>
        <rFont val="Verdana"/>
        <family val="2"/>
      </rPr>
      <t>RISQUES DE CRÉDIT ET DE CRÉDIT DE CONTREPARTIE ET POSITIONS DE NÉGOCIATION NON DÉNOUÉES: APPROCHE NI DES EXIGENCES DE FONDS PROPRES</t>
    </r>
  </si>
  <si>
    <r>
      <rPr>
        <sz val="8"/>
        <rFont val="Verdana"/>
        <family val="2"/>
      </rPr>
      <t>CR IRB 1</t>
    </r>
  </si>
  <si>
    <r>
      <rPr>
        <sz val="8"/>
        <rFont val="Verdana"/>
        <family val="2"/>
      </rPr>
      <t>C 08.02</t>
    </r>
  </si>
  <si>
    <r>
      <rPr>
        <i/>
        <sz val="8"/>
        <rFont val="Verdana"/>
        <family val="2"/>
      </rPr>
      <t>RISQUES DE CRÉDIT ET DE CRÉDIT DE CONTREPARTIE ET POSITIONS DE NÉGOCIATION NON DÉNOUÉES: APPROCHE NI DES EXIGENCES DE FONDS PROPRES (répartition par échelon ou catégorie de débiteurs)</t>
    </r>
  </si>
  <si>
    <r>
      <rPr>
        <sz val="8"/>
        <rFont val="Verdana"/>
        <family val="2"/>
      </rPr>
      <t>CR IRB 2</t>
    </r>
  </si>
  <si>
    <r>
      <rPr>
        <sz val="8"/>
        <rFont val="Verdana"/>
        <family val="2"/>
      </rPr>
      <t>RÉPARTITION GÉOGRAPHIQUE</t>
    </r>
  </si>
  <si>
    <r>
      <rPr>
        <sz val="8"/>
        <rFont val="Verdana"/>
        <family val="2"/>
      </rPr>
      <t>CR GB</t>
    </r>
  </si>
  <si>
    <r>
      <rPr>
        <sz val="8"/>
        <color rgb="FF000000"/>
        <rFont val="Verdana"/>
        <family val="2"/>
      </rPr>
      <t>C 09.01</t>
    </r>
  </si>
  <si>
    <r>
      <rPr>
        <i/>
        <sz val="8"/>
        <rFont val="Verdana"/>
        <family val="2"/>
      </rPr>
      <t>Tableau 9.1 - Répartition géographique des expositions par pays de résidence du débiteur (expositions en approche standard)</t>
    </r>
  </si>
  <si>
    <r>
      <rPr>
        <sz val="8"/>
        <rFont val="Verdana"/>
        <family val="2"/>
      </rPr>
      <t>CR GB 1</t>
    </r>
  </si>
  <si>
    <r>
      <rPr>
        <sz val="8"/>
        <color rgb="FF000000"/>
        <rFont val="Verdana"/>
        <family val="2"/>
      </rPr>
      <t>C 09.02</t>
    </r>
  </si>
  <si>
    <r>
      <rPr>
        <i/>
        <sz val="8"/>
        <rFont val="Verdana"/>
        <family val="2"/>
      </rPr>
      <t>Tableau 9.2 - Répartition géographique des expositions par pays de résidence du débiteur (expositions en approche NI)</t>
    </r>
  </si>
  <si>
    <r>
      <rPr>
        <sz val="8"/>
        <rFont val="Verdana"/>
        <family val="2"/>
      </rPr>
      <t>CR GB 2</t>
    </r>
  </si>
  <si>
    <r>
      <rPr>
        <sz val="8"/>
        <color rgb="FF000000"/>
        <rFont val="Verdana"/>
        <family val="2"/>
      </rPr>
      <t>C 09.04</t>
    </r>
  </si>
  <si>
    <r>
      <rPr>
        <i/>
        <sz val="8"/>
        <rFont val="Verdana"/>
        <family val="2"/>
      </rPr>
      <t>Tableau 9.4 — Répartition des expositions de crédit pertinentes pour le calcul du coussin contracyclique par pays et du taux de coussin contracyclique spécifique à l’établissement</t>
    </r>
  </si>
  <si>
    <r>
      <rPr>
        <sz val="8"/>
        <rFont val="Verdana"/>
        <family val="2"/>
      </rPr>
      <t>CCB</t>
    </r>
  </si>
  <si>
    <r>
      <rPr>
        <sz val="8"/>
        <rFont val="Verdana"/>
        <family val="2"/>
      </rPr>
      <t>RISQUE DE CRÉDIT: ACTIONS - APPROCHES NI DES EXIGENCES DE FONDS PROPRES</t>
    </r>
  </si>
  <si>
    <r>
      <rPr>
        <sz val="8"/>
        <rFont val="Verdana"/>
        <family val="2"/>
      </rPr>
      <t>CR EQU IRB</t>
    </r>
  </si>
  <si>
    <r>
      <rPr>
        <sz val="8"/>
        <rFont val="Verdana"/>
        <family val="2"/>
      </rPr>
      <t>C 10.01</t>
    </r>
  </si>
  <si>
    <r>
      <rPr>
        <i/>
        <sz val="8"/>
        <rFont val="Verdana"/>
        <family val="2"/>
      </rPr>
      <t>RISQUE DE CRÉDIT: ACTIONS - APPROCHES NI DES EXIGENCES DE FONDS PROPRES</t>
    </r>
  </si>
  <si>
    <r>
      <rPr>
        <sz val="8"/>
        <rFont val="Verdana"/>
        <family val="2"/>
      </rPr>
      <t>CR EQU IRB 1</t>
    </r>
  </si>
  <si>
    <r>
      <rPr>
        <sz val="8"/>
        <rFont val="Verdana"/>
        <family val="2"/>
      </rPr>
      <t>C 10.02</t>
    </r>
  </si>
  <si>
    <r>
      <rPr>
        <i/>
        <sz val="8"/>
        <rFont val="Verdana"/>
        <family val="2"/>
      </rPr>
      <t>RISQUE DE CRÉDIT: ACTIONS - APPROCHES NI DES EXIGENCES DE FONDS PROPRES RÉPARTITION DES EXPOSITIONS TOTALES SELON LA MÉTHODE PD/LGD PAR ÉCHELON DE DÉBITEURS:</t>
    </r>
  </si>
  <si>
    <r>
      <rPr>
        <sz val="8"/>
        <rFont val="Verdana"/>
        <family val="2"/>
      </rPr>
      <t>CR EQU IRB 2</t>
    </r>
  </si>
  <si>
    <r>
      <rPr>
        <sz val="8"/>
        <rFont val="Verdana"/>
        <family val="2"/>
      </rPr>
      <t>C 11.00</t>
    </r>
  </si>
  <si>
    <r>
      <rPr>
        <sz val="8"/>
        <rFont val="Verdana"/>
        <family val="2"/>
      </rPr>
      <t>RISQUE DE RÈGLEMENT/LIVRAISON</t>
    </r>
  </si>
  <si>
    <r>
      <rPr>
        <sz val="8"/>
        <rFont val="Verdana"/>
        <family val="2"/>
      </rPr>
      <t>CR SETT</t>
    </r>
  </si>
  <si>
    <r>
      <rPr>
        <sz val="8"/>
        <rFont val="Verdana"/>
        <family val="2"/>
      </rPr>
      <t>C 12.00</t>
    </r>
  </si>
  <si>
    <r>
      <rPr>
        <sz val="8"/>
        <rFont val="Verdana"/>
        <family val="2"/>
      </rPr>
      <t>RISQUE DE CRÉDIT: TITRISATIONS - APPROCHE STANDARD DES EXIGENCES DE FONDS PROPRES</t>
    </r>
  </si>
  <si>
    <r>
      <rPr>
        <sz val="8"/>
        <rFont val="Verdana"/>
        <family val="2"/>
      </rPr>
      <t>CR SEC SA</t>
    </r>
  </si>
  <si>
    <r>
      <rPr>
        <sz val="8"/>
        <rFont val="Verdana"/>
        <family val="2"/>
      </rPr>
      <t>C 13.00</t>
    </r>
  </si>
  <si>
    <r>
      <rPr>
        <sz val="8"/>
        <rFont val="Verdana"/>
        <family val="2"/>
      </rPr>
      <t>RISQUE DE CRÉDIT: TITRISATIONS - APPROCHE NI DES EXIGENCES DE FONDS PROPRES</t>
    </r>
  </si>
  <si>
    <r>
      <rPr>
        <sz val="8"/>
        <rFont val="Verdana"/>
        <family val="2"/>
      </rPr>
      <t>CR SEC IRB</t>
    </r>
  </si>
  <si>
    <r>
      <rPr>
        <sz val="8"/>
        <rFont val="Verdana"/>
        <family val="2"/>
      </rPr>
      <t>C 14.00</t>
    </r>
  </si>
  <si>
    <r>
      <rPr>
        <sz val="8"/>
        <rFont val="Verdana"/>
        <family val="2"/>
      </rPr>
      <t>INFORMATIONS DÉTAILLÉES SUR LES TITRISATIONS</t>
    </r>
  </si>
  <si>
    <r>
      <rPr>
        <sz val="8"/>
        <rFont val="Verdana"/>
        <family val="2"/>
      </rPr>
      <t>CR SEC Details</t>
    </r>
  </si>
  <si>
    <r>
      <rPr>
        <b/>
        <sz val="8"/>
        <rFont val="Verdana"/>
        <family val="2"/>
      </rPr>
      <t>RISQUE OPÉRATIONNEL</t>
    </r>
  </si>
  <si>
    <r>
      <rPr>
        <b/>
        <sz val="8"/>
        <rFont val="Verdana"/>
        <family val="2"/>
      </rPr>
      <t>OPR</t>
    </r>
  </si>
  <si>
    <r>
      <rPr>
        <sz val="8"/>
        <rFont val="Verdana"/>
        <family val="2"/>
      </rPr>
      <t>C 16.00</t>
    </r>
  </si>
  <si>
    <r>
      <rPr>
        <sz val="8"/>
        <rFont val="Verdana"/>
        <family val="2"/>
      </rPr>
      <t>RISQUE OPÉRATIONNEL</t>
    </r>
  </si>
  <si>
    <r>
      <rPr>
        <sz val="8"/>
        <rFont val="Verdana"/>
        <family val="2"/>
      </rPr>
      <t>OPR</t>
    </r>
  </si>
  <si>
    <r>
      <rPr>
        <sz val="8"/>
        <rFont val="Verdana"/>
        <family val="2"/>
      </rPr>
      <t>C 17.00</t>
    </r>
  </si>
  <si>
    <r>
      <rPr>
        <sz val="8"/>
        <rFont val="Verdana"/>
        <family val="2"/>
      </rPr>
      <t>RISQUE OPÉRATIONNEL: PERTES BRUTES PAR LIGNE D’ACTIVITÉ ET TYPE D’ÉVÉNEMENT SUR L’EXERCICE PASSÉ</t>
    </r>
  </si>
  <si>
    <r>
      <rPr>
        <sz val="8"/>
        <rFont val="Verdana"/>
        <family val="2"/>
      </rPr>
      <t>OPR Details</t>
    </r>
  </si>
  <si>
    <r>
      <rPr>
        <b/>
        <sz val="8"/>
        <rFont val="Verdana"/>
        <family val="2"/>
      </rPr>
      <t>RISQUE DE MARCHÉ</t>
    </r>
  </si>
  <si>
    <r>
      <rPr>
        <b/>
        <sz val="8"/>
        <rFont val="Verdana"/>
        <family val="2"/>
      </rPr>
      <t>MKR</t>
    </r>
  </si>
  <si>
    <r>
      <rPr>
        <sz val="8"/>
        <rFont val="Verdana"/>
        <family val="2"/>
      </rPr>
      <t>C 18.00</t>
    </r>
  </si>
  <si>
    <r>
      <rPr>
        <sz val="8"/>
        <rFont val="Verdana"/>
        <family val="2"/>
      </rPr>
      <t>RISQUE DE MARCHÉ: APPROCHE STANDARD DES RISQUES DE POSITION RELATIFS AUX TITRES DE CRÉANCE NÉGOCIÉS</t>
    </r>
  </si>
  <si>
    <r>
      <rPr>
        <sz val="8"/>
        <rFont val="Verdana"/>
        <family val="2"/>
      </rPr>
      <t>MKR SA TDI</t>
    </r>
  </si>
  <si>
    <r>
      <rPr>
        <sz val="8"/>
        <rFont val="Verdana"/>
        <family val="2"/>
      </rPr>
      <t>C 19.00</t>
    </r>
  </si>
  <si>
    <r>
      <rPr>
        <sz val="8"/>
        <rFont val="Verdana"/>
        <family val="2"/>
      </rPr>
      <t xml:space="preserve">RISQUE DE MARCHÉ: APPROCHE STANDARD DU RISQUE SPÉCIFIQUE EN TITRISATION </t>
    </r>
  </si>
  <si>
    <r>
      <rPr>
        <sz val="8"/>
        <rFont val="Verdana"/>
        <family val="2"/>
      </rPr>
      <t>MKR SA SEC</t>
    </r>
  </si>
  <si>
    <r>
      <rPr>
        <sz val="8"/>
        <rFont val="Verdana"/>
        <family val="2"/>
      </rPr>
      <t>C 20.00</t>
    </r>
  </si>
  <si>
    <r>
      <rPr>
        <sz val="8"/>
        <rFont val="Verdana"/>
        <family val="2"/>
      </rPr>
      <t>RISQUE DE MARCHÉ: APPROCHE STANDARD DU RISQUE SPÉCIFIQUE POUR LES POSITIONS DU PORTEFEUILLE DE NÉGOCIATION EN CORRÉLATION</t>
    </r>
  </si>
  <si>
    <r>
      <rPr>
        <sz val="8"/>
        <rFont val="Verdana"/>
        <family val="2"/>
      </rPr>
      <t>MKR SA CTP</t>
    </r>
  </si>
  <si>
    <r>
      <rPr>
        <sz val="8"/>
        <rFont val="Verdana"/>
        <family val="2"/>
      </rPr>
      <t>C 21.00</t>
    </r>
  </si>
  <si>
    <r>
      <rPr>
        <sz val="8"/>
        <rFont val="Verdana"/>
        <family val="2"/>
      </rPr>
      <t>RISQUE DE MARCHÉ: APPROCHE STANDARD DU RISQUE RELATIF AUX POSITIONS SOUS FORME D'ACTIONS</t>
    </r>
  </si>
  <si>
    <r>
      <rPr>
        <sz val="8"/>
        <rFont val="Verdana"/>
        <family val="2"/>
      </rPr>
      <t>MKR SA EQU</t>
    </r>
  </si>
  <si>
    <r>
      <rPr>
        <sz val="8"/>
        <rFont val="Verdana"/>
        <family val="2"/>
      </rPr>
      <t>C 22.00</t>
    </r>
  </si>
  <si>
    <r>
      <rPr>
        <sz val="8"/>
        <rFont val="Verdana"/>
        <family val="2"/>
      </rPr>
      <t>RISQUE DE MARCHÉ: APPROCHES STANDARD DU RISQUE DE CHANGE</t>
    </r>
  </si>
  <si>
    <r>
      <rPr>
        <sz val="8"/>
        <rFont val="Verdana"/>
        <family val="2"/>
      </rPr>
      <t>MKR SA FX</t>
    </r>
  </si>
  <si>
    <r>
      <rPr>
        <sz val="8"/>
        <rFont val="Verdana"/>
        <family val="2"/>
      </rPr>
      <t>C 23.00</t>
    </r>
  </si>
  <si>
    <r>
      <rPr>
        <sz val="8"/>
        <rFont val="Verdana"/>
        <family val="2"/>
      </rPr>
      <t>RISQUE DE MARCHÉ: APPROCHES STANDARD POUR LES MATIÈRES PREMIÈRES</t>
    </r>
  </si>
  <si>
    <r>
      <rPr>
        <sz val="8"/>
        <rFont val="Verdana"/>
        <family val="2"/>
      </rPr>
      <t>MKR SA COM</t>
    </r>
  </si>
  <si>
    <r>
      <rPr>
        <sz val="8"/>
        <rFont val="Verdana"/>
        <family val="2"/>
      </rPr>
      <t>C 24.00</t>
    </r>
  </si>
  <si>
    <r>
      <rPr>
        <sz val="8"/>
        <rFont val="Verdana"/>
        <family val="2"/>
      </rPr>
      <t>RISQUE DE MARCHÉ SELON L'APPROCHE FONDÉE SUR LES MODÈLES INTERNES</t>
    </r>
  </si>
  <si>
    <r>
      <rPr>
        <sz val="8"/>
        <rFont val="Verdana"/>
        <family val="2"/>
      </rPr>
      <t>MKR IM</t>
    </r>
  </si>
  <si>
    <r>
      <rPr>
        <sz val="8"/>
        <rFont val="Verdana"/>
        <family val="2"/>
      </rPr>
      <t>C 25.00</t>
    </r>
  </si>
  <si>
    <r>
      <rPr>
        <sz val="8"/>
        <rFont val="Verdana"/>
        <family val="2"/>
      </rPr>
      <t>RISQUE D'AJUSTEMENT DE L'ÉVALUATION DE CRÉDIT</t>
    </r>
  </si>
  <si>
    <r>
      <rPr>
        <sz val="8"/>
        <rFont val="Verdana"/>
        <family val="2"/>
      </rPr>
      <t>CVA</t>
    </r>
  </si>
  <si>
    <r>
      <rPr>
        <b/>
        <sz val="14"/>
        <rFont val="Verdana"/>
        <family val="2"/>
      </rPr>
      <t>C 01.00 - FONDS PROPRES (CA1)</t>
    </r>
  </si>
  <si>
    <r>
      <rPr>
        <b/>
        <sz val="11"/>
        <rFont val="Verdana"/>
        <family val="2"/>
      </rPr>
      <t>Ligne</t>
    </r>
  </si>
  <si>
    <r>
      <rPr>
        <b/>
        <sz val="11"/>
        <rFont val="Verdana"/>
        <family val="2"/>
      </rPr>
      <t>ID</t>
    </r>
  </si>
  <si>
    <r>
      <rPr>
        <b/>
        <sz val="11"/>
        <rFont val="Verdana"/>
        <family val="2"/>
      </rPr>
      <t>Poste</t>
    </r>
  </si>
  <si>
    <r>
      <rPr>
        <b/>
        <sz val="11"/>
        <rFont val="Verdana"/>
        <family val="2"/>
      </rPr>
      <t>Montant</t>
    </r>
  </si>
  <si>
    <r>
      <rPr>
        <b/>
        <sz val="9"/>
        <rFont val="Verdana"/>
        <family val="2"/>
      </rPr>
      <t>010</t>
    </r>
  </si>
  <si>
    <r>
      <rPr>
        <b/>
        <u/>
        <sz val="11"/>
        <rFont val="Verdana"/>
        <family val="2"/>
      </rPr>
      <t>FONDS PROPRES</t>
    </r>
  </si>
  <si>
    <r>
      <rPr>
        <b/>
        <sz val="9"/>
        <rFont val="Verdana"/>
        <family val="2"/>
      </rPr>
      <t>015</t>
    </r>
  </si>
  <si>
    <r>
      <rPr>
        <b/>
        <sz val="9"/>
        <rFont val="Verdana"/>
        <family val="2"/>
      </rPr>
      <t>1.1</t>
    </r>
  </si>
  <si>
    <r>
      <rPr>
        <b/>
        <sz val="11"/>
        <rFont val="Verdana"/>
        <family val="2"/>
      </rPr>
      <t>FONDS PROPRES DE CATÉGORIE 1</t>
    </r>
  </si>
  <si>
    <r>
      <rPr>
        <b/>
        <sz val="9"/>
        <rFont val="Verdana"/>
        <family val="2"/>
      </rPr>
      <t>020</t>
    </r>
  </si>
  <si>
    <r>
      <rPr>
        <b/>
        <sz val="11"/>
        <rFont val="Verdana"/>
        <family val="2"/>
      </rPr>
      <t>FONDS PROPRES DE BASE DE CATÉGORIE 1 (CET1)</t>
    </r>
  </si>
  <si>
    <r>
      <rPr>
        <b/>
        <sz val="9"/>
        <rFont val="Verdana"/>
        <family val="2"/>
      </rPr>
      <t>030</t>
    </r>
  </si>
  <si>
    <r>
      <rPr>
        <b/>
        <sz val="11"/>
        <rFont val="Verdana"/>
        <family val="2"/>
      </rPr>
      <t>Instruments de capital éligibles en tant que fonds propres CET1</t>
    </r>
  </si>
  <si>
    <r>
      <rPr>
        <b/>
        <sz val="9"/>
        <rFont val="Verdana"/>
        <family val="2"/>
      </rPr>
      <t>040</t>
    </r>
  </si>
  <si>
    <r>
      <rPr>
        <sz val="11"/>
        <rFont val="Verdana"/>
        <family val="2"/>
      </rPr>
      <t xml:space="preserve">Instruments de capital versés </t>
    </r>
  </si>
  <si>
    <r>
      <rPr>
        <b/>
        <sz val="9"/>
        <rFont val="Verdana"/>
        <family val="2"/>
      </rPr>
      <t>045</t>
    </r>
  </si>
  <si>
    <r>
      <rPr>
        <sz val="11"/>
        <rFont val="Verdana"/>
        <family val="2"/>
      </rPr>
      <t>Dont: Instruments de capital souscrits par les autorités publiques dans des situations d'urgence</t>
    </r>
  </si>
  <si>
    <r>
      <rPr>
        <b/>
        <sz val="9"/>
        <rFont val="Verdana"/>
        <family val="2"/>
      </rPr>
      <t>050</t>
    </r>
  </si>
  <si>
    <r>
      <rPr>
        <sz val="9"/>
        <rFont val="Verdana"/>
        <family val="2"/>
      </rPr>
      <t>1.1.1.1.2*</t>
    </r>
  </si>
  <si>
    <r>
      <rPr>
        <sz val="11"/>
        <rFont val="Verdana"/>
        <family val="2"/>
      </rPr>
      <t>Pour mémoire: Instruments de capital non éligibles</t>
    </r>
  </si>
  <si>
    <r>
      <rPr>
        <b/>
        <sz val="9"/>
        <rFont val="Verdana"/>
        <family val="2"/>
      </rPr>
      <t>060</t>
    </r>
  </si>
  <si>
    <r>
      <rPr>
        <sz val="11"/>
        <rFont val="Verdana"/>
        <family val="2"/>
      </rPr>
      <t>Prime d'émission</t>
    </r>
  </si>
  <si>
    <r>
      <rPr>
        <b/>
        <sz val="9"/>
        <rFont val="Verdana"/>
        <family val="2"/>
      </rPr>
      <t>070</t>
    </r>
  </si>
  <si>
    <r>
      <rPr>
        <sz val="11"/>
        <rFont val="Verdana"/>
        <family val="2"/>
      </rPr>
      <t>(-) Propres instruments CET1</t>
    </r>
  </si>
  <si>
    <r>
      <rPr>
        <b/>
        <sz val="9"/>
        <rFont val="Verdana"/>
        <family val="2"/>
      </rPr>
      <t>080</t>
    </r>
  </si>
  <si>
    <r>
      <rPr>
        <sz val="11"/>
        <rFont val="Verdana"/>
        <family val="2"/>
      </rPr>
      <t>(-) Détentions directes d’instruments CET1</t>
    </r>
  </si>
  <si>
    <r>
      <rPr>
        <b/>
        <sz val="9"/>
        <rFont val="Verdana"/>
        <family val="2"/>
      </rPr>
      <t>090</t>
    </r>
  </si>
  <si>
    <r>
      <rPr>
        <sz val="11"/>
        <rFont val="Verdana"/>
        <family val="2"/>
      </rPr>
      <t>(-) Détentions indirectes d’instruments CET1</t>
    </r>
  </si>
  <si>
    <r>
      <rPr>
        <b/>
        <sz val="9"/>
        <rFont val="Verdana"/>
        <family val="2"/>
      </rPr>
      <t>091</t>
    </r>
  </si>
  <si>
    <r>
      <rPr>
        <sz val="11"/>
        <rFont val="Verdana"/>
        <family val="2"/>
      </rPr>
      <t>(-) Détentions synthétiques d’instruments CET1</t>
    </r>
  </si>
  <si>
    <r>
      <rPr>
        <b/>
        <sz val="9"/>
        <rFont val="Verdana"/>
        <family val="2"/>
      </rPr>
      <t>092</t>
    </r>
  </si>
  <si>
    <r>
      <rPr>
        <sz val="11"/>
        <rFont val="Verdana"/>
        <family val="2"/>
      </rPr>
      <t>(–) Obligations réelles ou éventuelles d'acquérir ses propres instruments CET1</t>
    </r>
  </si>
  <si>
    <r>
      <rPr>
        <b/>
        <sz val="9"/>
        <rFont val="Verdana"/>
        <family val="2"/>
      </rPr>
      <t>130</t>
    </r>
  </si>
  <si>
    <r>
      <rPr>
        <b/>
        <sz val="11"/>
        <rFont val="Verdana"/>
        <family val="2"/>
      </rPr>
      <t>Résultats non distribués</t>
    </r>
  </si>
  <si>
    <r>
      <rPr>
        <b/>
        <sz val="9"/>
        <rFont val="Verdana"/>
        <family val="2"/>
      </rPr>
      <t>140</t>
    </r>
  </si>
  <si>
    <r>
      <rPr>
        <sz val="11"/>
        <rFont val="Verdana"/>
        <family val="2"/>
      </rPr>
      <t>Résultats non distribués des exercices précédents</t>
    </r>
  </si>
  <si>
    <r>
      <rPr>
        <b/>
        <sz val="9"/>
        <rFont val="Verdana"/>
        <family val="2"/>
      </rPr>
      <t>150</t>
    </r>
  </si>
  <si>
    <r>
      <rPr>
        <sz val="11"/>
        <rFont val="Verdana"/>
        <family val="2"/>
      </rPr>
      <t>Profits ou pertes éligibles</t>
    </r>
  </si>
  <si>
    <r>
      <rPr>
        <b/>
        <sz val="9"/>
        <rFont val="Verdana"/>
        <family val="2"/>
      </rPr>
      <t>160</t>
    </r>
  </si>
  <si>
    <r>
      <rPr>
        <sz val="11"/>
        <rFont val="Verdana"/>
        <family val="2"/>
      </rPr>
      <t>Profits ou pertes attribuables aux propriétaires de la société mère</t>
    </r>
  </si>
  <si>
    <r>
      <rPr>
        <b/>
        <sz val="9"/>
        <rFont val="Verdana"/>
        <family val="2"/>
      </rPr>
      <t>170</t>
    </r>
  </si>
  <si>
    <r>
      <rPr>
        <sz val="11"/>
        <rFont val="Verdana"/>
        <family val="2"/>
      </rPr>
      <t>(-) Part du bénéfice intermédiaire ou de fin d’exercice non éligible</t>
    </r>
  </si>
  <si>
    <r>
      <rPr>
        <b/>
        <sz val="9"/>
        <rFont val="Verdana"/>
        <family val="2"/>
      </rPr>
      <t>180</t>
    </r>
  </si>
  <si>
    <r>
      <rPr>
        <b/>
        <sz val="11"/>
        <rFont val="Verdana"/>
        <family val="2"/>
      </rPr>
      <t>Autres éléments du résultat global cumulés</t>
    </r>
  </si>
  <si>
    <r>
      <rPr>
        <b/>
        <sz val="9"/>
        <rFont val="Verdana"/>
        <family val="2"/>
      </rPr>
      <t>200</t>
    </r>
  </si>
  <si>
    <r>
      <rPr>
        <b/>
        <sz val="11"/>
        <rFont val="Verdana"/>
        <family val="2"/>
      </rPr>
      <t>Autres réserves</t>
    </r>
  </si>
  <si>
    <r>
      <rPr>
        <b/>
        <sz val="9"/>
        <rFont val="Verdana"/>
        <family val="2"/>
      </rPr>
      <t>210</t>
    </r>
  </si>
  <si>
    <r>
      <rPr>
        <b/>
        <sz val="11"/>
        <rFont val="Verdana"/>
        <family val="2"/>
      </rPr>
      <t>Fonds pour risques bancaires généraux</t>
    </r>
  </si>
  <si>
    <r>
      <rPr>
        <b/>
        <sz val="9"/>
        <rFont val="Verdana"/>
        <family val="2"/>
      </rPr>
      <t>220</t>
    </r>
  </si>
  <si>
    <r>
      <rPr>
        <b/>
        <sz val="9"/>
        <rFont val="Verdana"/>
        <family val="2"/>
      </rPr>
      <t>230</t>
    </r>
  </si>
  <si>
    <r>
      <rPr>
        <b/>
        <sz val="11"/>
        <rFont val="Verdana"/>
        <family val="2"/>
      </rPr>
      <t>Intérêts minoritaires pris en compte dans les fonds propres CET1</t>
    </r>
  </si>
  <si>
    <r>
      <rPr>
        <b/>
        <sz val="9"/>
        <rFont val="Verdana"/>
        <family val="2"/>
      </rPr>
      <t>240</t>
    </r>
  </si>
  <si>
    <r>
      <rPr>
        <b/>
        <sz val="11"/>
        <rFont val="Verdana"/>
        <family val="2"/>
      </rPr>
      <t>Ajustements transitoires découlant d’intérêts minoritaires supplémentaires</t>
    </r>
  </si>
  <si>
    <r>
      <rPr>
        <b/>
        <sz val="9"/>
        <rFont val="Verdana"/>
        <family val="2"/>
      </rPr>
      <t>250</t>
    </r>
  </si>
  <si>
    <r>
      <rPr>
        <b/>
        <sz val="11"/>
        <rFont val="Verdana"/>
        <family val="2"/>
      </rPr>
      <t>Ajustements des CET1 découlant de filtres prudentiels</t>
    </r>
  </si>
  <si>
    <r>
      <rPr>
        <b/>
        <sz val="9"/>
        <rFont val="Verdana"/>
        <family val="2"/>
      </rPr>
      <t>260</t>
    </r>
  </si>
  <si>
    <r>
      <rPr>
        <sz val="11"/>
        <rFont val="Verdana"/>
        <family val="2"/>
      </rPr>
      <t>(-) Augmentations de la valeur des capitaux propres résultant d’actifs titrisés</t>
    </r>
  </si>
  <si>
    <r>
      <rPr>
        <b/>
        <sz val="9"/>
        <rFont val="Verdana"/>
        <family val="2"/>
      </rPr>
      <t>270</t>
    </r>
  </si>
  <si>
    <r>
      <rPr>
        <sz val="11"/>
        <rFont val="Verdana"/>
        <family val="2"/>
      </rPr>
      <t>Réserves de couverture de flux de trésorerie</t>
    </r>
  </si>
  <si>
    <r>
      <rPr>
        <b/>
        <sz val="9"/>
        <rFont val="Verdana"/>
        <family val="2"/>
      </rPr>
      <t>280</t>
    </r>
  </si>
  <si>
    <r>
      <rPr>
        <sz val="11"/>
        <rFont val="Verdana"/>
        <family val="2"/>
      </rPr>
      <t>Profits et pertes cumulatifs attribuables aux variations du risque de crédit propre pour les passifs évalués à la juste valeur</t>
    </r>
  </si>
  <si>
    <r>
      <rPr>
        <b/>
        <sz val="9"/>
        <rFont val="Verdana"/>
        <family val="2"/>
      </rPr>
      <t>285</t>
    </r>
  </si>
  <si>
    <r>
      <rPr>
        <sz val="11"/>
        <rFont val="Verdana"/>
        <family val="2"/>
      </rPr>
      <t>Profits et pertes en juste valeur résultant du propre risque de crédit de l’établissement lié aux instruments dérivés au passif du bilan</t>
    </r>
  </si>
  <si>
    <r>
      <rPr>
        <b/>
        <sz val="9"/>
        <rFont val="Verdana"/>
        <family val="2"/>
      </rPr>
      <t>290</t>
    </r>
  </si>
  <si>
    <r>
      <rPr>
        <sz val="11"/>
        <rFont val="Verdana"/>
        <family val="2"/>
      </rPr>
      <t>(-) Corrections de valeur découlant des exigences d’évaluation prudente</t>
    </r>
  </si>
  <si>
    <r>
      <rPr>
        <b/>
        <sz val="9"/>
        <rFont val="Verdana"/>
        <family val="2"/>
      </rPr>
      <t>300</t>
    </r>
  </si>
  <si>
    <r>
      <rPr>
        <b/>
        <sz val="11"/>
        <rFont val="Verdana"/>
        <family val="2"/>
      </rPr>
      <t>(–) Goodwill</t>
    </r>
  </si>
  <si>
    <r>
      <rPr>
        <b/>
        <sz val="9"/>
        <rFont val="Verdana"/>
        <family val="2"/>
      </rPr>
      <t>310</t>
    </r>
  </si>
  <si>
    <r>
      <rPr>
        <sz val="11"/>
        <rFont val="Verdana"/>
        <family val="2"/>
      </rPr>
      <t>(-) Goodwill pris en compte en tant qu’immobilisation incorporelle</t>
    </r>
  </si>
  <si>
    <r>
      <rPr>
        <b/>
        <sz val="9"/>
        <rFont val="Verdana"/>
        <family val="2"/>
      </rPr>
      <t>320</t>
    </r>
  </si>
  <si>
    <r>
      <rPr>
        <sz val="11"/>
        <rFont val="Verdana"/>
        <family val="2"/>
      </rPr>
      <t>(-) Goodwill inclus dans l’évaluation des investissements importants</t>
    </r>
  </si>
  <si>
    <r>
      <rPr>
        <b/>
        <sz val="9"/>
        <rFont val="Verdana"/>
        <family val="2"/>
      </rPr>
      <t>330</t>
    </r>
  </si>
  <si>
    <r>
      <rPr>
        <sz val="11"/>
        <rFont val="Verdana"/>
        <family val="2"/>
      </rPr>
      <t>Passifs d’impôt différé associés au goodwill</t>
    </r>
  </si>
  <si>
    <r>
      <rPr>
        <b/>
        <sz val="9"/>
        <rFont val="Verdana"/>
        <family val="2"/>
      </rPr>
      <t>340</t>
    </r>
  </si>
  <si>
    <r>
      <rPr>
        <b/>
        <sz val="11"/>
        <rFont val="Verdana"/>
        <family val="2"/>
      </rPr>
      <t>(–) Autres immobilisations incorporelles</t>
    </r>
  </si>
  <si>
    <r>
      <rPr>
        <b/>
        <sz val="9"/>
        <rFont val="Verdana"/>
        <family val="2"/>
      </rPr>
      <t>350</t>
    </r>
  </si>
  <si>
    <r>
      <rPr>
        <sz val="11"/>
        <rFont val="Verdana"/>
        <family val="2"/>
      </rPr>
      <t>(-) Autres immobilisations incorporelles avant déduction des passifs d’impôt différé</t>
    </r>
  </si>
  <si>
    <r>
      <rPr>
        <b/>
        <sz val="9"/>
        <rFont val="Verdana"/>
        <family val="2"/>
      </rPr>
      <t>360</t>
    </r>
  </si>
  <si>
    <r>
      <rPr>
        <sz val="11"/>
        <rFont val="Verdana"/>
        <family val="2"/>
      </rPr>
      <t>Passifs d’impôt différé associés aux autres immobilisations incorporelles</t>
    </r>
  </si>
  <si>
    <r>
      <rPr>
        <b/>
        <sz val="9"/>
        <rFont val="Verdana"/>
        <family val="2"/>
      </rPr>
      <t>370</t>
    </r>
  </si>
  <si>
    <r>
      <rPr>
        <b/>
        <sz val="11"/>
        <rFont val="Verdana"/>
        <family val="2"/>
      </rPr>
      <t>(–) Actifs d'impôt différé dépendant de bénéfices futurs et ne résultant pas de différences temporelles après déduction des passifs d'impôt associés</t>
    </r>
  </si>
  <si>
    <r>
      <rPr>
        <b/>
        <sz val="9"/>
        <rFont val="Verdana"/>
        <family val="2"/>
      </rPr>
      <t>380</t>
    </r>
  </si>
  <si>
    <r>
      <rPr>
        <b/>
        <sz val="11"/>
        <rFont val="Verdana"/>
        <family val="2"/>
      </rPr>
      <t>(–) Insuffisance des ajustements pour risque de crédit par rapport aux pertes anticipées selon l'approche NI</t>
    </r>
  </si>
  <si>
    <r>
      <rPr>
        <b/>
        <sz val="9"/>
        <rFont val="Verdana"/>
        <family val="2"/>
      </rPr>
      <t>390</t>
    </r>
  </si>
  <si>
    <r>
      <rPr>
        <b/>
        <sz val="11"/>
        <rFont val="Verdana"/>
        <family val="2"/>
      </rPr>
      <t>(–) Actifs de fonds de pension à prestations définies</t>
    </r>
  </si>
  <si>
    <r>
      <rPr>
        <b/>
        <sz val="9"/>
        <rFont val="Verdana"/>
        <family val="2"/>
      </rPr>
      <t>400</t>
    </r>
  </si>
  <si>
    <r>
      <rPr>
        <sz val="11"/>
        <rFont val="Verdana"/>
        <family val="2"/>
      </rPr>
      <t>(–) Actifs de fonds de pension à prestations définies</t>
    </r>
  </si>
  <si>
    <r>
      <rPr>
        <b/>
        <sz val="9"/>
        <rFont val="Verdana"/>
        <family val="2"/>
      </rPr>
      <t>410</t>
    </r>
  </si>
  <si>
    <r>
      <rPr>
        <sz val="11"/>
        <rFont val="Verdana"/>
        <family val="2"/>
      </rPr>
      <t>Passifs d’impôt différé associés aux actifs de fonds de pension à prestations définies</t>
    </r>
  </si>
  <si>
    <r>
      <rPr>
        <b/>
        <sz val="9"/>
        <rFont val="Verdana"/>
        <family val="2"/>
      </rPr>
      <t>420</t>
    </r>
  </si>
  <si>
    <r>
      <rPr>
        <sz val="11"/>
        <rFont val="Verdana"/>
        <family val="2"/>
      </rPr>
      <t>Actifs de fonds de pension à prestations définies dont l’établissement peut disposer sans contrainte</t>
    </r>
  </si>
  <si>
    <r>
      <rPr>
        <b/>
        <sz val="9"/>
        <rFont val="Verdana"/>
        <family val="2"/>
      </rPr>
      <t>430</t>
    </r>
  </si>
  <si>
    <r>
      <rPr>
        <b/>
        <sz val="11"/>
        <rFont val="Verdana"/>
        <family val="2"/>
      </rPr>
      <t>(-) Détentions croisées de fonds propres CET1</t>
    </r>
  </si>
  <si>
    <r>
      <rPr>
        <b/>
        <sz val="9"/>
        <rFont val="Verdana"/>
        <family val="2"/>
      </rPr>
      <t>440</t>
    </r>
  </si>
  <si>
    <r>
      <rPr>
        <b/>
        <sz val="11"/>
        <rFont val="Verdana"/>
        <family val="2"/>
      </rPr>
      <t xml:space="preserve">(-) Excédent de déduction d’éléments AT1 sur les fonds propres AT1 </t>
    </r>
  </si>
  <si>
    <r>
      <rPr>
        <b/>
        <sz val="9"/>
        <rFont val="Verdana"/>
        <family val="2"/>
      </rPr>
      <t>450</t>
    </r>
  </si>
  <si>
    <r>
      <rPr>
        <b/>
        <sz val="11"/>
        <rFont val="Verdana"/>
        <family val="2"/>
      </rPr>
      <t>(-) Participations qualifiées hors du secteur financier qui peuvent subsidiairement être soumises à une pondération de risque de 1 250 %</t>
    </r>
  </si>
  <si>
    <r>
      <rPr>
        <b/>
        <sz val="9"/>
        <rFont val="Verdana"/>
        <family val="2"/>
      </rPr>
      <t>460</t>
    </r>
  </si>
  <si>
    <r>
      <rPr>
        <b/>
        <sz val="11"/>
        <rFont val="Verdana"/>
        <family val="2"/>
      </rPr>
      <t>(-) Positions de titrisation qui peuvent subsidiairement être soumises à une pondération de risque de 1 250 %</t>
    </r>
  </si>
  <si>
    <r>
      <rPr>
        <b/>
        <sz val="9"/>
        <rFont val="Verdana"/>
        <family val="2"/>
      </rPr>
      <t>470</t>
    </r>
  </si>
  <si>
    <r>
      <rPr>
        <b/>
        <sz val="11"/>
        <rFont val="Verdana"/>
        <family val="2"/>
      </rPr>
      <t>(-) Positions de négociation non dénouées qui peuvent subsidiairement être soumises à une pondération de risque de 1 250 %</t>
    </r>
  </si>
  <si>
    <r>
      <rPr>
        <b/>
        <sz val="9"/>
        <rFont val="Verdana"/>
        <family val="2"/>
      </rPr>
      <t>471</t>
    </r>
  </si>
  <si>
    <r>
      <rPr>
        <b/>
        <sz val="11"/>
        <rFont val="Verdana"/>
        <family val="2"/>
      </rPr>
      <t>(-) Positions d'un panier pour lesquelles un établissement n'est pas en mesure de déterminer la pondération de risque selon l'approche NI, et qui peuvent subsidiairement être soumises à une pondération de risque de 1 250 %</t>
    </r>
  </si>
  <si>
    <r>
      <rPr>
        <b/>
        <sz val="9"/>
        <rFont val="Verdana"/>
        <family val="2"/>
      </rPr>
      <t>472</t>
    </r>
  </si>
  <si>
    <r>
      <rPr>
        <b/>
        <sz val="11"/>
        <rFont val="Verdana"/>
        <family val="2"/>
      </rPr>
      <t>(-) Expositions sous forme d'actions selon une approche fondée sur les modèles internes qui peuvent subsidiairement être soumises à une pondération de risque de 1 250 %</t>
    </r>
  </si>
  <si>
    <r>
      <rPr>
        <b/>
        <sz val="9"/>
        <rFont val="Verdana"/>
        <family val="2"/>
      </rPr>
      <t>480</t>
    </r>
  </si>
  <si>
    <r>
      <rPr>
        <b/>
        <sz val="11"/>
        <rFont val="Verdana"/>
        <family val="2"/>
      </rPr>
      <t>(-) Instruments CET1 d'entités du secteur financier dans lesquelles l'établissement ne détient pas d'investissement important</t>
    </r>
  </si>
  <si>
    <r>
      <rPr>
        <b/>
        <sz val="9"/>
        <rFont val="Verdana"/>
        <family val="2"/>
      </rPr>
      <t>490</t>
    </r>
  </si>
  <si>
    <r>
      <rPr>
        <b/>
        <sz val="11"/>
        <rFont val="Verdana"/>
        <family val="2"/>
      </rPr>
      <t>(-) Actifs d’impôt différé déductibles dépendant de bénéfices futurs et résultant de différences temporelles</t>
    </r>
  </si>
  <si>
    <r>
      <rPr>
        <b/>
        <sz val="9"/>
        <rFont val="Verdana"/>
        <family val="2"/>
      </rPr>
      <t>500</t>
    </r>
  </si>
  <si>
    <r>
      <rPr>
        <b/>
        <sz val="11"/>
        <rFont val="Verdana"/>
        <family val="2"/>
      </rPr>
      <t>(-) Instruments CET1 d’entités du secteur financier dans lesquelles l’établissement détient un investissement important</t>
    </r>
  </si>
  <si>
    <r>
      <rPr>
        <b/>
        <sz val="9"/>
        <rFont val="Verdana"/>
        <family val="2"/>
      </rPr>
      <t>510</t>
    </r>
  </si>
  <si>
    <r>
      <rPr>
        <b/>
        <sz val="11"/>
        <rFont val="Verdana"/>
        <family val="2"/>
      </rPr>
      <t>(-) Montant dépassant le seuil de 17,65 %</t>
    </r>
  </si>
  <si>
    <r>
      <rPr>
        <b/>
        <sz val="9"/>
        <rFont val="Verdana"/>
        <family val="2"/>
      </rPr>
      <t>520</t>
    </r>
  </si>
  <si>
    <r>
      <rPr>
        <b/>
        <sz val="11"/>
        <rFont val="Verdana"/>
        <family val="2"/>
      </rPr>
      <t>Autres ajustements transitoires applicables aux fonds propres CET1</t>
    </r>
  </si>
  <si>
    <r>
      <rPr>
        <b/>
        <sz val="9"/>
        <rFont val="Verdana"/>
        <family val="2"/>
      </rPr>
      <t>524</t>
    </r>
  </si>
  <si>
    <r>
      <rPr>
        <b/>
        <sz val="11"/>
        <rFont val="Verdana"/>
        <family val="2"/>
      </rPr>
      <t>(-) Déductions supplémentaires de fonds propres CET1 en vertu de l’article 3 du CRR</t>
    </r>
  </si>
  <si>
    <r>
      <rPr>
        <b/>
        <sz val="9"/>
        <rFont val="Verdana"/>
        <family val="2"/>
      </rPr>
      <t>529</t>
    </r>
  </si>
  <si>
    <r>
      <rPr>
        <b/>
        <sz val="11"/>
        <rFont val="Verdana"/>
        <family val="2"/>
      </rPr>
      <t>Éléments de fonds propres CET1 ou déductions - autres</t>
    </r>
  </si>
  <si>
    <r>
      <rPr>
        <b/>
        <sz val="9"/>
        <rFont val="Verdana"/>
        <family val="2"/>
      </rPr>
      <t>530</t>
    </r>
  </si>
  <si>
    <r>
      <rPr>
        <b/>
        <sz val="11"/>
        <rFont val="Verdana"/>
        <family val="2"/>
      </rPr>
      <t>FONDS PROPRES ADDITIONNELS DE CATÉGORIE 1 (AT1)</t>
    </r>
  </si>
  <si>
    <r>
      <rPr>
        <b/>
        <sz val="9"/>
        <rFont val="Verdana"/>
        <family val="2"/>
      </rPr>
      <t>540</t>
    </r>
  </si>
  <si>
    <r>
      <rPr>
        <b/>
        <sz val="11"/>
        <rFont val="Verdana"/>
        <family val="2"/>
      </rPr>
      <t>Instruments de capital éligibles en tant que fonds propres AT1</t>
    </r>
  </si>
  <si>
    <r>
      <rPr>
        <b/>
        <sz val="9"/>
        <rFont val="Verdana"/>
        <family val="2"/>
      </rPr>
      <t>550</t>
    </r>
  </si>
  <si>
    <r>
      <rPr>
        <sz val="11"/>
        <rFont val="Verdana"/>
        <family val="2"/>
      </rPr>
      <t>Instruments de capital versés</t>
    </r>
  </si>
  <si>
    <r>
      <rPr>
        <b/>
        <sz val="9"/>
        <rFont val="Verdana"/>
        <family val="2"/>
      </rPr>
      <t>560</t>
    </r>
  </si>
  <si>
    <r>
      <rPr>
        <sz val="9"/>
        <rFont val="Verdana"/>
        <family val="2"/>
      </rPr>
      <t>1.1.2.1.2*</t>
    </r>
  </si>
  <si>
    <r>
      <rPr>
        <sz val="11"/>
        <rFont val="Verdana"/>
        <family val="2"/>
      </rPr>
      <t>Pour mémoire: Instruments de capital non éligibles</t>
    </r>
  </si>
  <si>
    <r>
      <rPr>
        <b/>
        <sz val="9"/>
        <rFont val="Verdana"/>
        <family val="2"/>
      </rPr>
      <t>570</t>
    </r>
  </si>
  <si>
    <r>
      <rPr>
        <sz val="11"/>
        <rFont val="Verdana"/>
        <family val="2"/>
      </rPr>
      <t>Prime d'émission</t>
    </r>
  </si>
  <si>
    <r>
      <rPr>
        <b/>
        <sz val="9"/>
        <rFont val="Verdana"/>
        <family val="2"/>
      </rPr>
      <t>580</t>
    </r>
  </si>
  <si>
    <r>
      <rPr>
        <sz val="11"/>
        <rFont val="Verdana"/>
        <family val="2"/>
      </rPr>
      <t>(-) Propres instruments AT1</t>
    </r>
  </si>
  <si>
    <r>
      <rPr>
        <b/>
        <sz val="9"/>
        <rFont val="Verdana"/>
        <family val="2"/>
      </rPr>
      <t>590</t>
    </r>
  </si>
  <si>
    <r>
      <rPr>
        <sz val="11"/>
        <rFont val="Verdana"/>
        <family val="2"/>
      </rPr>
      <t>(-) Détentions directes d’instruments AT1</t>
    </r>
  </si>
  <si>
    <r>
      <rPr>
        <b/>
        <sz val="9"/>
        <rFont val="Verdana"/>
        <family val="2"/>
      </rPr>
      <t>620</t>
    </r>
  </si>
  <si>
    <r>
      <rPr>
        <sz val="11"/>
        <rFont val="Verdana"/>
        <family val="2"/>
      </rPr>
      <t>(-) Détentions indirectes d’instruments AT1</t>
    </r>
  </si>
  <si>
    <r>
      <rPr>
        <b/>
        <sz val="9"/>
        <rFont val="Verdana"/>
        <family val="2"/>
      </rPr>
      <t>621</t>
    </r>
  </si>
  <si>
    <r>
      <rPr>
        <sz val="11"/>
        <rFont val="Verdana"/>
        <family val="2"/>
      </rPr>
      <t>(-) Détentions synthétiques d’instruments AT1</t>
    </r>
  </si>
  <si>
    <r>
      <rPr>
        <b/>
        <sz val="9"/>
        <rFont val="Verdana"/>
        <family val="2"/>
      </rPr>
      <t>622</t>
    </r>
  </si>
  <si>
    <r>
      <rPr>
        <sz val="11"/>
        <rFont val="Verdana"/>
        <family val="2"/>
      </rPr>
      <t>(–) Obligations réelles ou éventuelles d'acquérir ses propres instruments AT1</t>
    </r>
  </si>
  <si>
    <r>
      <rPr>
        <b/>
        <sz val="9"/>
        <rFont val="Verdana"/>
        <family val="2"/>
      </rPr>
      <t>660</t>
    </r>
  </si>
  <si>
    <r>
      <rPr>
        <b/>
        <sz val="11"/>
        <rFont val="Verdana"/>
        <family val="2"/>
      </rPr>
      <t>Ajustements transitoires relatifs aux instruments de capital AT1 bénéficiant d’une clause d’antériorité</t>
    </r>
  </si>
  <si>
    <r>
      <rPr>
        <b/>
        <sz val="9"/>
        <rFont val="Verdana"/>
        <family val="2"/>
      </rPr>
      <t>670</t>
    </r>
  </si>
  <si>
    <r>
      <rPr>
        <b/>
        <sz val="11"/>
        <rFont val="Verdana"/>
        <family val="2"/>
      </rPr>
      <t>Instruments émis par des filiales pris en compte dans les fonds propres AT1</t>
    </r>
  </si>
  <si>
    <r>
      <rPr>
        <b/>
        <sz val="9"/>
        <rFont val="Verdana"/>
        <family val="2"/>
      </rPr>
      <t>680</t>
    </r>
  </si>
  <si>
    <r>
      <rPr>
        <b/>
        <sz val="11"/>
        <rFont val="Verdana"/>
        <family val="2"/>
      </rPr>
      <t>Ajustements transitoires découlant de la prise en compte d’instruments émis par des filiales dans les fonds propres AT1</t>
    </r>
  </si>
  <si>
    <r>
      <rPr>
        <b/>
        <sz val="9"/>
        <rFont val="Verdana"/>
        <family val="2"/>
      </rPr>
      <t>690</t>
    </r>
  </si>
  <si>
    <r>
      <rPr>
        <b/>
        <sz val="11"/>
        <rFont val="Verdana"/>
        <family val="2"/>
      </rPr>
      <t>(-) Détentions croisées de fonds propres AT1</t>
    </r>
  </si>
  <si>
    <r>
      <rPr>
        <b/>
        <sz val="9"/>
        <rFont val="Verdana"/>
        <family val="2"/>
      </rPr>
      <t>700</t>
    </r>
  </si>
  <si>
    <r>
      <rPr>
        <b/>
        <sz val="11"/>
        <rFont val="Verdana"/>
        <family val="2"/>
      </rPr>
      <t>(-) Instruments AT1 d’entités du secteur financier dans lesquelles l’établissement ne détient pas d’investissement important</t>
    </r>
  </si>
  <si>
    <r>
      <rPr>
        <b/>
        <sz val="9"/>
        <rFont val="Verdana"/>
        <family val="2"/>
      </rPr>
      <t>710</t>
    </r>
  </si>
  <si>
    <r>
      <rPr>
        <b/>
        <sz val="11"/>
        <rFont val="Verdana"/>
        <family val="2"/>
      </rPr>
      <t>(-) Instruments AT1 d’entités du secteur financier dans lesquelles l’établissement détient un investissement important</t>
    </r>
  </si>
  <si>
    <r>
      <rPr>
        <b/>
        <sz val="9"/>
        <rFont val="Verdana"/>
        <family val="2"/>
      </rPr>
      <t>720</t>
    </r>
  </si>
  <si>
    <r>
      <rPr>
        <b/>
        <sz val="11"/>
        <rFont val="Verdana"/>
        <family val="2"/>
      </rPr>
      <t>(-) Excédent de déduction d’éléments T2 sur les fonds propres T2</t>
    </r>
  </si>
  <si>
    <r>
      <rPr>
        <b/>
        <sz val="9"/>
        <rFont val="Verdana"/>
        <family val="2"/>
      </rPr>
      <t>730</t>
    </r>
  </si>
  <si>
    <r>
      <rPr>
        <b/>
        <sz val="11"/>
        <rFont val="Verdana"/>
        <family val="2"/>
      </rPr>
      <t>Autres ajustements transitoires applicables aux fonds propres AT1</t>
    </r>
  </si>
  <si>
    <r>
      <rPr>
        <b/>
        <sz val="9"/>
        <rFont val="Verdana"/>
        <family val="2"/>
      </rPr>
      <t>740</t>
    </r>
  </si>
  <si>
    <r>
      <rPr>
        <b/>
        <sz val="11"/>
        <rFont val="Verdana"/>
        <family val="2"/>
      </rPr>
      <t>Excédent de déduction d'éléments AT1 sur les fonds propres AT1 (déduit des CET1)</t>
    </r>
  </si>
  <si>
    <r>
      <rPr>
        <b/>
        <sz val="9"/>
        <rFont val="Verdana"/>
        <family val="2"/>
      </rPr>
      <t>744</t>
    </r>
  </si>
  <si>
    <r>
      <rPr>
        <b/>
        <sz val="11"/>
        <rFont val="Verdana"/>
        <family val="2"/>
      </rPr>
      <t>(-) Déductions supplémentaires de fonds propres AT1 en vertu de l’article 3 du CRR</t>
    </r>
  </si>
  <si>
    <r>
      <rPr>
        <b/>
        <sz val="9"/>
        <rFont val="Verdana"/>
        <family val="2"/>
      </rPr>
      <t>748</t>
    </r>
  </si>
  <si>
    <r>
      <rPr>
        <b/>
        <sz val="11"/>
        <rFont val="Verdana"/>
        <family val="2"/>
      </rPr>
      <t>Éléments de fonds propres AT1 ou déductions - autres</t>
    </r>
  </si>
  <si>
    <r>
      <rPr>
        <b/>
        <sz val="9"/>
        <rFont val="Verdana"/>
        <family val="2"/>
      </rPr>
      <t>750</t>
    </r>
  </si>
  <si>
    <r>
      <rPr>
        <b/>
        <sz val="11"/>
        <rFont val="Verdana"/>
        <family val="2"/>
      </rPr>
      <t>FONDS PROPRES DE CATÉGORIE 2 (T2)</t>
    </r>
  </si>
  <si>
    <r>
      <rPr>
        <b/>
        <sz val="9"/>
        <rFont val="Verdana"/>
        <family val="2"/>
      </rPr>
      <t>760</t>
    </r>
  </si>
  <si>
    <r>
      <rPr>
        <b/>
        <sz val="11"/>
        <rFont val="Verdana"/>
        <family val="2"/>
      </rPr>
      <t>Instruments de capital et emprunts subordonnés éligibles en tant que fonds propres T2</t>
    </r>
  </si>
  <si>
    <r>
      <rPr>
        <b/>
        <sz val="9"/>
        <rFont val="Verdana"/>
        <family val="2"/>
      </rPr>
      <t>770</t>
    </r>
  </si>
  <si>
    <r>
      <rPr>
        <sz val="11"/>
        <rFont val="Verdana"/>
        <family val="2"/>
      </rPr>
      <t xml:space="preserve">Instruments de capital versés et emprunts subordonnés </t>
    </r>
  </si>
  <si>
    <r>
      <rPr>
        <b/>
        <sz val="9"/>
        <rFont val="Verdana"/>
        <family val="2"/>
      </rPr>
      <t>780</t>
    </r>
  </si>
  <si>
    <r>
      <rPr>
        <sz val="9"/>
        <rFont val="Verdana"/>
        <family val="2"/>
      </rPr>
      <t>1.2.1.2*</t>
    </r>
  </si>
  <si>
    <r>
      <rPr>
        <sz val="11"/>
        <rFont val="Verdana"/>
        <family val="2"/>
      </rPr>
      <t>Pour mémoire: Instruments de capital et emprunts subordonnés non éligibles</t>
    </r>
  </si>
  <si>
    <r>
      <rPr>
        <b/>
        <sz val="9"/>
        <rFont val="Verdana"/>
        <family val="2"/>
      </rPr>
      <t>790</t>
    </r>
  </si>
  <si>
    <r>
      <rPr>
        <sz val="11"/>
        <rFont val="Verdana"/>
        <family val="2"/>
      </rPr>
      <t>Prime d'émission</t>
    </r>
  </si>
  <si>
    <r>
      <rPr>
        <b/>
        <sz val="9"/>
        <rFont val="Verdana"/>
        <family val="2"/>
      </rPr>
      <t>800</t>
    </r>
  </si>
  <si>
    <r>
      <rPr>
        <sz val="11"/>
        <rFont val="Verdana"/>
        <family val="2"/>
      </rPr>
      <t>(-) Propres instruments T2</t>
    </r>
  </si>
  <si>
    <r>
      <rPr>
        <b/>
        <sz val="9"/>
        <rFont val="Verdana"/>
        <family val="2"/>
      </rPr>
      <t>810</t>
    </r>
  </si>
  <si>
    <r>
      <rPr>
        <sz val="11"/>
        <rFont val="Verdana"/>
        <family val="2"/>
      </rPr>
      <t>(-) Détentions directes d’instruments T2</t>
    </r>
  </si>
  <si>
    <r>
      <rPr>
        <b/>
        <sz val="9"/>
        <rFont val="Verdana"/>
        <family val="2"/>
      </rPr>
      <t>840</t>
    </r>
  </si>
  <si>
    <r>
      <rPr>
        <sz val="11"/>
        <rFont val="Verdana"/>
        <family val="2"/>
      </rPr>
      <t>(-) Détentions indirectes d’instruments T2</t>
    </r>
  </si>
  <si>
    <r>
      <rPr>
        <b/>
        <sz val="9"/>
        <rFont val="Verdana"/>
        <family val="2"/>
      </rPr>
      <t>841</t>
    </r>
  </si>
  <si>
    <r>
      <rPr>
        <sz val="11"/>
        <rFont val="Verdana"/>
        <family val="2"/>
      </rPr>
      <t>(-) Détentions synthétiques d’instruments T2</t>
    </r>
  </si>
  <si>
    <r>
      <rPr>
        <b/>
        <sz val="9"/>
        <rFont val="Verdana"/>
        <family val="2"/>
      </rPr>
      <t>842</t>
    </r>
  </si>
  <si>
    <r>
      <rPr>
        <sz val="11"/>
        <rFont val="Verdana"/>
        <family val="2"/>
      </rPr>
      <t>(–) Obligations réelles ou éventuelles d'acquérir ses propres instruments T2</t>
    </r>
  </si>
  <si>
    <r>
      <rPr>
        <b/>
        <sz val="9"/>
        <rFont val="Verdana"/>
        <family val="2"/>
      </rPr>
      <t>880</t>
    </r>
  </si>
  <si>
    <r>
      <rPr>
        <b/>
        <sz val="11"/>
        <rFont val="Verdana"/>
        <family val="2"/>
      </rPr>
      <t xml:space="preserve">Ajustements transitoires relatifs aux instruments de capital T2 et emprunts subordonnés bénéficiant d'une clause d'antériorité </t>
    </r>
  </si>
  <si>
    <r>
      <rPr>
        <b/>
        <sz val="9"/>
        <rFont val="Verdana"/>
        <family val="2"/>
      </rPr>
      <t>890</t>
    </r>
  </si>
  <si>
    <r>
      <rPr>
        <b/>
        <sz val="11"/>
        <rFont val="Verdana"/>
        <family val="2"/>
      </rPr>
      <t>Instruments émis par des filiales pris en compte dans les fonds propres T2</t>
    </r>
  </si>
  <si>
    <r>
      <rPr>
        <b/>
        <sz val="9"/>
        <rFont val="Verdana"/>
        <family val="2"/>
      </rPr>
      <t>900</t>
    </r>
  </si>
  <si>
    <r>
      <rPr>
        <b/>
        <sz val="11"/>
        <rFont val="Verdana"/>
        <family val="2"/>
      </rPr>
      <t>Ajustements transitoires découlant de la prise en compte d’instruments émis par des filiales dans les fonds propres T2</t>
    </r>
  </si>
  <si>
    <r>
      <rPr>
        <b/>
        <sz val="9"/>
        <rFont val="Verdana"/>
        <family val="2"/>
      </rPr>
      <t>910</t>
    </r>
  </si>
  <si>
    <r>
      <rPr>
        <b/>
        <sz val="11"/>
        <rFont val="Verdana"/>
        <family val="2"/>
      </rPr>
      <t>Excès de provisions par rapport aux pertes anticipées éligible selon l'approche NI</t>
    </r>
  </si>
  <si>
    <r>
      <rPr>
        <b/>
        <sz val="9"/>
        <rFont val="Verdana"/>
        <family val="2"/>
      </rPr>
      <t>920</t>
    </r>
  </si>
  <si>
    <r>
      <rPr>
        <b/>
        <sz val="11"/>
        <rFont val="Verdana"/>
        <family val="2"/>
      </rPr>
      <t>Ajustements pour risque de crédit général selon l'approche standard (SA)</t>
    </r>
  </si>
  <si>
    <r>
      <rPr>
        <b/>
        <sz val="9"/>
        <rFont val="Verdana"/>
        <family val="2"/>
      </rPr>
      <t>930</t>
    </r>
  </si>
  <si>
    <r>
      <rPr>
        <b/>
        <sz val="11"/>
        <rFont val="Verdana"/>
        <family val="2"/>
      </rPr>
      <t>(-) Détentions croisées de fonds propres T2</t>
    </r>
  </si>
  <si>
    <r>
      <rPr>
        <b/>
        <sz val="9"/>
        <rFont val="Verdana"/>
        <family val="2"/>
      </rPr>
      <t>940</t>
    </r>
  </si>
  <si>
    <r>
      <rPr>
        <b/>
        <sz val="11"/>
        <rFont val="Verdana"/>
        <family val="2"/>
      </rPr>
      <t>(-) Instruments T2 d’entités du secteur financier dans lesquelles l’établissement ne détient pas d’investissement important</t>
    </r>
  </si>
  <si>
    <r>
      <rPr>
        <b/>
        <sz val="9"/>
        <rFont val="Verdana"/>
        <family val="2"/>
      </rPr>
      <t>950</t>
    </r>
  </si>
  <si>
    <r>
      <rPr>
        <b/>
        <sz val="11"/>
        <rFont val="Verdana"/>
        <family val="2"/>
      </rPr>
      <t>(-) Instruments T2 d’entités du secteur financier dans lesquelles l’établissement détient un investissement important</t>
    </r>
  </si>
  <si>
    <r>
      <rPr>
        <b/>
        <sz val="9"/>
        <rFont val="Verdana"/>
        <family val="2"/>
      </rPr>
      <t>960</t>
    </r>
  </si>
  <si>
    <r>
      <rPr>
        <b/>
        <sz val="11"/>
        <rFont val="Verdana"/>
        <family val="2"/>
      </rPr>
      <t>Autres ajustements transitoires applicables aux fonds propres T2</t>
    </r>
  </si>
  <si>
    <r>
      <rPr>
        <b/>
        <sz val="9"/>
        <rFont val="Verdana"/>
        <family val="2"/>
      </rPr>
      <t>970</t>
    </r>
  </si>
  <si>
    <r>
      <rPr>
        <b/>
        <sz val="11"/>
        <rFont val="Verdana"/>
        <family val="2"/>
      </rPr>
      <t>Excédent de déduction d'éléments T2 sur les fonds propres T2 (déduit des AT1)</t>
    </r>
  </si>
  <si>
    <r>
      <rPr>
        <b/>
        <sz val="9"/>
        <rFont val="Verdana"/>
        <family val="2"/>
      </rPr>
      <t>974</t>
    </r>
  </si>
  <si>
    <r>
      <rPr>
        <b/>
        <sz val="11"/>
        <rFont val="Verdana"/>
        <family val="2"/>
      </rPr>
      <t>(-) Déductions supplémentaires de fonds propres T2 en vertu de l’article 3 du CRR</t>
    </r>
  </si>
  <si>
    <r>
      <rPr>
        <b/>
        <sz val="9"/>
        <rFont val="Verdana"/>
        <family val="2"/>
      </rPr>
      <t>978</t>
    </r>
  </si>
  <si>
    <r>
      <rPr>
        <b/>
        <sz val="11"/>
        <rFont val="Verdana"/>
        <family val="2"/>
      </rPr>
      <t>Éléments de fonds propres T2 ou déductions - autres</t>
    </r>
  </si>
  <si>
    <r>
      <rPr>
        <b/>
        <sz val="14"/>
        <rFont val="Verdana"/>
        <family val="2"/>
      </rPr>
      <t>C 02.00 - EXIGENCES DE FONDS PROPRES (CA2)</t>
    </r>
  </si>
  <si>
    <r>
      <rPr>
        <b/>
        <sz val="11"/>
        <rFont val="Verdana"/>
        <family val="2"/>
      </rPr>
      <t>Ligne</t>
    </r>
  </si>
  <si>
    <r>
      <rPr>
        <b/>
        <sz val="11"/>
        <rFont val="Verdana"/>
        <family val="2"/>
      </rPr>
      <t>Poste</t>
    </r>
  </si>
  <si>
    <r>
      <rPr>
        <b/>
        <sz val="11"/>
        <rFont val="Verdana"/>
        <family val="2"/>
      </rPr>
      <t>Dénomination</t>
    </r>
  </si>
  <si>
    <r>
      <rPr>
        <b/>
        <sz val="11"/>
        <rFont val="Verdana"/>
        <family val="2"/>
      </rPr>
      <t>Montant</t>
    </r>
  </si>
  <si>
    <r>
      <rPr>
        <b/>
        <sz val="9"/>
        <rFont val="Verdana"/>
        <family val="2"/>
      </rPr>
      <t>010</t>
    </r>
  </si>
  <si>
    <r>
      <rPr>
        <b/>
        <sz val="9"/>
        <rFont val="Verdana"/>
        <family val="2"/>
      </rPr>
      <t>1</t>
    </r>
  </si>
  <si>
    <r>
      <rPr>
        <b/>
        <u/>
        <sz val="11"/>
        <rFont val="Verdana"/>
        <family val="2"/>
      </rPr>
      <t xml:space="preserve">MONTANT TOTAL D'EXPOSITION AU RISQUE </t>
    </r>
  </si>
  <si>
    <r>
      <rPr>
        <b/>
        <sz val="9"/>
        <rFont val="Verdana"/>
        <family val="2"/>
      </rPr>
      <t>020</t>
    </r>
  </si>
  <si>
    <r>
      <rPr>
        <sz val="9"/>
        <rFont val="Verdana"/>
        <family val="2"/>
      </rPr>
      <t>1*</t>
    </r>
  </si>
  <si>
    <r>
      <rPr>
        <i/>
        <sz val="11"/>
        <rFont val="Verdana"/>
        <family val="2"/>
      </rPr>
      <t>Dont: Entreprises d'investissements visées à l'article 95, paragraphe 2, et à l'article 98 du CRR</t>
    </r>
  </si>
  <si>
    <r>
      <rPr>
        <b/>
        <sz val="9"/>
        <rFont val="Verdana"/>
        <family val="2"/>
      </rPr>
      <t>030</t>
    </r>
  </si>
  <si>
    <r>
      <rPr>
        <sz val="9"/>
        <rFont val="Verdana"/>
        <family val="2"/>
      </rPr>
      <t>1**</t>
    </r>
  </si>
  <si>
    <r>
      <rPr>
        <i/>
        <sz val="11"/>
        <rFont val="Verdana"/>
        <family val="2"/>
      </rPr>
      <t>Dont: Entreprises d'investissements visées à l'article 96, paragraphe 2, et à l'article 97 du CRR</t>
    </r>
  </si>
  <si>
    <r>
      <rPr>
        <b/>
        <sz val="9"/>
        <rFont val="Verdana"/>
        <family val="2"/>
      </rPr>
      <t>040</t>
    </r>
  </si>
  <si>
    <r>
      <rPr>
        <b/>
        <sz val="9"/>
        <rFont val="Verdana"/>
        <family val="2"/>
      </rPr>
      <t>1.1</t>
    </r>
  </si>
  <si>
    <r>
      <rPr>
        <b/>
        <sz val="11"/>
        <rFont val="Verdana"/>
        <family val="2"/>
      </rPr>
      <t>MONTANTS D'EXPOSITION PONDÉRÉS POUR LES RISQUES DE CRÉDIT, DE CRÉDIT DE CONTREPARTIE ET DE DILUTION ET LES POSITIONS DE NÉGOCIATION NON DÉNOUÉES</t>
    </r>
  </si>
  <si>
    <r>
      <rPr>
        <b/>
        <sz val="9"/>
        <rFont val="Verdana"/>
        <family val="2"/>
      </rPr>
      <t>050</t>
    </r>
  </si>
  <si>
    <r>
      <rPr>
        <b/>
        <sz val="9"/>
        <rFont val="Verdana"/>
        <family val="2"/>
      </rPr>
      <t>1.1.1</t>
    </r>
  </si>
  <si>
    <r>
      <rPr>
        <b/>
        <sz val="11"/>
        <rFont val="Verdana"/>
        <family val="2"/>
      </rPr>
      <t>Approche standard (SA)</t>
    </r>
  </si>
  <si>
    <r>
      <rPr>
        <b/>
        <sz val="9"/>
        <rFont val="Verdana"/>
        <family val="2"/>
      </rPr>
      <t>060</t>
    </r>
  </si>
  <si>
    <r>
      <rPr>
        <sz val="9"/>
        <rFont val="Verdana"/>
        <family val="2"/>
      </rPr>
      <t>1.1.1.1</t>
    </r>
  </si>
  <si>
    <r>
      <rPr>
        <sz val="11"/>
        <rFont val="Verdana"/>
        <family val="2"/>
      </rPr>
      <t>Catégories d’exposition au risque en approche SA, à l’exclusion des positions de titrisation</t>
    </r>
  </si>
  <si>
    <r>
      <rPr>
        <b/>
        <sz val="9"/>
        <rFont val="Verdana"/>
        <family val="2"/>
      </rPr>
      <t>070</t>
    </r>
  </si>
  <si>
    <r>
      <rPr>
        <sz val="9"/>
        <rFont val="Verdana"/>
        <family val="2"/>
      </rPr>
      <t>1.1.1.1.01</t>
    </r>
  </si>
  <si>
    <r>
      <rPr>
        <sz val="11"/>
        <rFont val="Verdana"/>
        <family val="2"/>
      </rPr>
      <t>Administrations centrales ou banques centrales</t>
    </r>
  </si>
  <si>
    <r>
      <rPr>
        <b/>
        <sz val="9"/>
        <rFont val="Verdana"/>
        <family val="2"/>
      </rPr>
      <t>080</t>
    </r>
  </si>
  <si>
    <r>
      <rPr>
        <sz val="9"/>
        <rFont val="Verdana"/>
        <family val="2"/>
      </rPr>
      <t>1.1.1.1.02</t>
    </r>
  </si>
  <si>
    <r>
      <rPr>
        <sz val="11"/>
        <rFont val="Verdana"/>
        <family val="2"/>
      </rPr>
      <t>Administrations régionales ou locales</t>
    </r>
  </si>
  <si>
    <r>
      <rPr>
        <b/>
        <sz val="9"/>
        <rFont val="Verdana"/>
        <family val="2"/>
      </rPr>
      <t>090</t>
    </r>
  </si>
  <si>
    <r>
      <rPr>
        <sz val="9"/>
        <rFont val="Verdana"/>
        <family val="2"/>
      </rPr>
      <t>1.1.1.1.03</t>
    </r>
  </si>
  <si>
    <r>
      <rPr>
        <sz val="11"/>
        <rFont val="Verdana"/>
        <family val="2"/>
      </rPr>
      <t xml:space="preserve">Entités du secteur public </t>
    </r>
  </si>
  <si>
    <r>
      <rPr>
        <b/>
        <sz val="9"/>
        <rFont val="Verdana"/>
        <family val="2"/>
      </rPr>
      <t>100</t>
    </r>
  </si>
  <si>
    <r>
      <rPr>
        <sz val="9"/>
        <rFont val="Verdana"/>
        <family val="2"/>
      </rPr>
      <t>1.1.1.1.04</t>
    </r>
  </si>
  <si>
    <r>
      <rPr>
        <sz val="11"/>
        <rFont val="Verdana"/>
        <family val="2"/>
      </rPr>
      <t>Banques multilatérales de développement</t>
    </r>
  </si>
  <si>
    <r>
      <rPr>
        <b/>
        <sz val="9"/>
        <rFont val="Verdana"/>
        <family val="2"/>
      </rPr>
      <t>110</t>
    </r>
  </si>
  <si>
    <r>
      <rPr>
        <sz val="9"/>
        <rFont val="Verdana"/>
        <family val="2"/>
      </rPr>
      <t>1.1.1.1.05</t>
    </r>
  </si>
  <si>
    <r>
      <rPr>
        <sz val="11"/>
        <rFont val="Verdana"/>
        <family val="2"/>
      </rPr>
      <t>Organisations internationales</t>
    </r>
  </si>
  <si>
    <r>
      <rPr>
        <b/>
        <sz val="9"/>
        <rFont val="Verdana"/>
        <family val="2"/>
      </rPr>
      <t>120</t>
    </r>
  </si>
  <si>
    <r>
      <rPr>
        <sz val="9"/>
        <rFont val="Verdana"/>
        <family val="2"/>
      </rPr>
      <t>1.1.1.1.06</t>
    </r>
  </si>
  <si>
    <r>
      <rPr>
        <sz val="11"/>
        <rFont val="Verdana"/>
        <family val="2"/>
      </rPr>
      <t>Établissements</t>
    </r>
  </si>
  <si>
    <r>
      <rPr>
        <b/>
        <sz val="9"/>
        <rFont val="Verdana"/>
        <family val="2"/>
      </rPr>
      <t>130</t>
    </r>
  </si>
  <si>
    <r>
      <rPr>
        <sz val="9"/>
        <rFont val="Verdana"/>
        <family val="2"/>
      </rPr>
      <t>1.1.1.1.07</t>
    </r>
  </si>
  <si>
    <r>
      <rPr>
        <sz val="11"/>
        <rFont val="Verdana"/>
        <family val="2"/>
      </rPr>
      <t>Entreprises</t>
    </r>
  </si>
  <si>
    <r>
      <rPr>
        <b/>
        <sz val="9"/>
        <rFont val="Verdana"/>
        <family val="2"/>
      </rPr>
      <t>140</t>
    </r>
  </si>
  <si>
    <r>
      <rPr>
        <sz val="9"/>
        <rFont val="Verdana"/>
        <family val="2"/>
      </rPr>
      <t>1.1.1.1.08</t>
    </r>
  </si>
  <si>
    <r>
      <rPr>
        <sz val="11"/>
        <rFont val="Verdana"/>
        <family val="2"/>
      </rPr>
      <t>Clientèle de détail</t>
    </r>
  </si>
  <si>
    <r>
      <rPr>
        <b/>
        <sz val="9"/>
        <rFont val="Verdana"/>
        <family val="2"/>
      </rPr>
      <t>150</t>
    </r>
  </si>
  <si>
    <r>
      <rPr>
        <sz val="9"/>
        <rFont val="Verdana"/>
        <family val="2"/>
      </rPr>
      <t>1.1.1.1.09</t>
    </r>
  </si>
  <si>
    <r>
      <rPr>
        <sz val="11"/>
        <rFont val="Verdana"/>
        <family val="2"/>
      </rPr>
      <t>Expositions garanties par une hypothèque sur un bien immobilier</t>
    </r>
  </si>
  <si>
    <r>
      <rPr>
        <b/>
        <sz val="9"/>
        <rFont val="Verdana"/>
        <family val="2"/>
      </rPr>
      <t>160</t>
    </r>
  </si>
  <si>
    <r>
      <rPr>
        <sz val="9"/>
        <rFont val="Verdana"/>
        <family val="2"/>
      </rPr>
      <t>1.1.1.1.10</t>
    </r>
  </si>
  <si>
    <r>
      <rPr>
        <sz val="11"/>
        <rFont val="Verdana"/>
        <family val="2"/>
      </rPr>
      <t xml:space="preserve">Expositions en défaut </t>
    </r>
  </si>
  <si>
    <r>
      <rPr>
        <b/>
        <sz val="9"/>
        <rFont val="Verdana"/>
        <family val="2"/>
      </rPr>
      <t>170</t>
    </r>
  </si>
  <si>
    <r>
      <rPr>
        <sz val="9"/>
        <rFont val="Verdana"/>
        <family val="2"/>
      </rPr>
      <t>1.1.1.1.11</t>
    </r>
  </si>
  <si>
    <r>
      <rPr>
        <sz val="11"/>
        <rFont val="Verdana"/>
        <family val="2"/>
      </rPr>
      <t>Éléments présentant un risque particulièrement élevé</t>
    </r>
  </si>
  <si>
    <r>
      <rPr>
        <b/>
        <sz val="9"/>
        <rFont val="Verdana"/>
        <family val="2"/>
      </rPr>
      <t>180</t>
    </r>
  </si>
  <si>
    <r>
      <rPr>
        <sz val="9"/>
        <rFont val="Verdana"/>
        <family val="2"/>
      </rPr>
      <t>1.1.1.1.12</t>
    </r>
  </si>
  <si>
    <r>
      <rPr>
        <sz val="11"/>
        <rFont val="Verdana"/>
        <family val="2"/>
      </rPr>
      <t>Obligations garanties</t>
    </r>
  </si>
  <si>
    <r>
      <rPr>
        <b/>
        <sz val="9"/>
        <rFont val="Verdana"/>
        <family val="2"/>
      </rPr>
      <t>190</t>
    </r>
  </si>
  <si>
    <r>
      <rPr>
        <sz val="9"/>
        <rFont val="Verdana"/>
        <family val="2"/>
      </rPr>
      <t>1.1.1.1.13</t>
    </r>
  </si>
  <si>
    <r>
      <rPr>
        <sz val="11"/>
        <rFont val="Verdana"/>
        <family val="2"/>
      </rPr>
      <t xml:space="preserve">Créances sur des établissements et des entreprises faisant l'objet d'une évaluation du crédit à court terme </t>
    </r>
  </si>
  <si>
    <r>
      <rPr>
        <b/>
        <sz val="9"/>
        <rFont val="Verdana"/>
        <family val="2"/>
      </rPr>
      <t>200</t>
    </r>
  </si>
  <si>
    <r>
      <rPr>
        <sz val="9"/>
        <rFont val="Verdana"/>
        <family val="2"/>
      </rPr>
      <t>1.1.1.1.14</t>
    </r>
  </si>
  <si>
    <r>
      <rPr>
        <sz val="11"/>
        <rFont val="Verdana"/>
        <family val="2"/>
      </rPr>
      <t>Organismes de placement collectif (OPC)</t>
    </r>
  </si>
  <si>
    <r>
      <rPr>
        <b/>
        <sz val="9"/>
        <rFont val="Verdana"/>
        <family val="2"/>
      </rPr>
      <t>210</t>
    </r>
  </si>
  <si>
    <r>
      <rPr>
        <sz val="9"/>
        <rFont val="Verdana"/>
        <family val="2"/>
      </rPr>
      <t>1.1.1.1.15</t>
    </r>
  </si>
  <si>
    <r>
      <rPr>
        <sz val="11"/>
        <rFont val="Verdana"/>
        <family val="2"/>
      </rPr>
      <t>Actions</t>
    </r>
  </si>
  <si>
    <r>
      <rPr>
        <b/>
        <sz val="9"/>
        <rFont val="Verdana"/>
        <family val="2"/>
      </rPr>
      <t>211</t>
    </r>
  </si>
  <si>
    <r>
      <rPr>
        <sz val="9"/>
        <rFont val="Verdana"/>
        <family val="2"/>
      </rPr>
      <t>1.1.1.1.16</t>
    </r>
  </si>
  <si>
    <r>
      <rPr>
        <sz val="11"/>
        <rFont val="Verdana"/>
        <family val="2"/>
      </rPr>
      <t>Autres éléments</t>
    </r>
  </si>
  <si>
    <r>
      <rPr>
        <b/>
        <sz val="9"/>
        <rFont val="Verdana"/>
        <family val="2"/>
      </rPr>
      <t>220</t>
    </r>
  </si>
  <si>
    <r>
      <rPr>
        <sz val="9"/>
        <rFont val="Verdana"/>
        <family val="2"/>
      </rPr>
      <t>1.1.1.2</t>
    </r>
  </si>
  <si>
    <r>
      <rPr>
        <sz val="11"/>
        <rFont val="Verdana"/>
        <family val="2"/>
      </rPr>
      <t>Positions de titrisation SA</t>
    </r>
  </si>
  <si>
    <r>
      <rPr>
        <b/>
        <sz val="9"/>
        <rFont val="Verdana"/>
        <family val="2"/>
      </rPr>
      <t>230</t>
    </r>
  </si>
  <si>
    <r>
      <rPr>
        <sz val="9"/>
        <rFont val="Verdana"/>
        <family val="2"/>
      </rPr>
      <t>1.1.1.2*</t>
    </r>
  </si>
  <si>
    <r>
      <rPr>
        <i/>
        <sz val="11"/>
        <rFont val="Verdana"/>
        <family val="2"/>
      </rPr>
      <t>dont: retitrisation</t>
    </r>
  </si>
  <si>
    <r>
      <rPr>
        <b/>
        <sz val="9"/>
        <rFont val="Verdana"/>
        <family val="2"/>
      </rPr>
      <t>240</t>
    </r>
  </si>
  <si>
    <r>
      <rPr>
        <b/>
        <sz val="9"/>
        <rFont val="Verdana"/>
        <family val="2"/>
      </rPr>
      <t>1.1.2</t>
    </r>
  </si>
  <si>
    <r>
      <rPr>
        <b/>
        <sz val="11"/>
        <rFont val="Verdana"/>
        <family val="2"/>
      </rPr>
      <t>Approche fondée sur les notations internes (NI)</t>
    </r>
  </si>
  <si>
    <r>
      <rPr>
        <b/>
        <sz val="9"/>
        <rFont val="Verdana"/>
        <family val="2"/>
      </rPr>
      <t>250</t>
    </r>
  </si>
  <si>
    <r>
      <rPr>
        <sz val="9"/>
        <rFont val="Verdana"/>
        <family val="2"/>
      </rPr>
      <t>1.1.2.1</t>
    </r>
  </si>
  <si>
    <r>
      <rPr>
        <sz val="11"/>
        <rFont val="Verdana"/>
        <family val="2"/>
      </rPr>
      <t>Approches NI en l'absence de recours à ses propres estimations des pertes en cas de défaut (LGD) ou à des facteurs de conversion</t>
    </r>
  </si>
  <si>
    <r>
      <rPr>
        <b/>
        <sz val="9"/>
        <rFont val="Verdana"/>
        <family val="2"/>
      </rPr>
      <t>260</t>
    </r>
  </si>
  <si>
    <r>
      <rPr>
        <sz val="9"/>
        <rFont val="Verdana"/>
        <family val="2"/>
      </rPr>
      <t>1.1.2.1.01</t>
    </r>
  </si>
  <si>
    <r>
      <rPr>
        <sz val="11"/>
        <rFont val="Verdana"/>
        <family val="2"/>
      </rPr>
      <t>Administrations centrales et banques centrales</t>
    </r>
  </si>
  <si>
    <r>
      <rPr>
        <b/>
        <sz val="9"/>
        <rFont val="Verdana"/>
        <family val="2"/>
      </rPr>
      <t>270</t>
    </r>
  </si>
  <si>
    <r>
      <rPr>
        <sz val="9"/>
        <rFont val="Verdana"/>
        <family val="2"/>
      </rPr>
      <t>1.1.2.1.02</t>
    </r>
  </si>
  <si>
    <r>
      <rPr>
        <sz val="11"/>
        <rFont val="Verdana"/>
        <family val="2"/>
      </rPr>
      <t>Établissements</t>
    </r>
  </si>
  <si>
    <r>
      <rPr>
        <b/>
        <sz val="9"/>
        <rFont val="Verdana"/>
        <family val="2"/>
      </rPr>
      <t>280</t>
    </r>
  </si>
  <si>
    <r>
      <rPr>
        <sz val="9"/>
        <rFont val="Verdana"/>
        <family val="2"/>
      </rPr>
      <t>1.1.2.1.03</t>
    </r>
  </si>
  <si>
    <r>
      <rPr>
        <sz val="11"/>
        <rFont val="Verdana"/>
        <family val="2"/>
      </rPr>
      <t>Entreprises- PME</t>
    </r>
  </si>
  <si>
    <r>
      <rPr>
        <b/>
        <sz val="9"/>
        <rFont val="Verdana"/>
        <family val="2"/>
      </rPr>
      <t>290</t>
    </r>
  </si>
  <si>
    <r>
      <rPr>
        <sz val="9"/>
        <rFont val="Verdana"/>
        <family val="2"/>
      </rPr>
      <t>1.1.2.1.04</t>
    </r>
  </si>
  <si>
    <r>
      <rPr>
        <sz val="11"/>
        <rFont val="Verdana"/>
        <family val="2"/>
      </rPr>
      <t>Entreprises - Financements spécialisés</t>
    </r>
  </si>
  <si>
    <r>
      <rPr>
        <b/>
        <sz val="9"/>
        <rFont val="Verdana"/>
        <family val="2"/>
      </rPr>
      <t>300</t>
    </r>
  </si>
  <si>
    <r>
      <rPr>
        <sz val="9"/>
        <rFont val="Verdana"/>
        <family val="2"/>
      </rPr>
      <t>1.1.2.1.05</t>
    </r>
  </si>
  <si>
    <r>
      <rPr>
        <sz val="11"/>
        <rFont val="Verdana"/>
        <family val="2"/>
      </rPr>
      <t>Entreprises - Autres</t>
    </r>
  </si>
  <si>
    <r>
      <rPr>
        <b/>
        <sz val="9"/>
        <rFont val="Verdana"/>
        <family val="2"/>
      </rPr>
      <t>310</t>
    </r>
  </si>
  <si>
    <r>
      <rPr>
        <sz val="9"/>
        <rFont val="Verdana"/>
        <family val="2"/>
      </rPr>
      <t>1.1.2.2</t>
    </r>
  </si>
  <si>
    <r>
      <rPr>
        <sz val="11"/>
        <rFont val="Verdana"/>
        <family val="2"/>
      </rPr>
      <t>Approches NI en cas de recours à ses propres estimations des pertes en cas de défaut (LGD) et/ou à des facteurs de conversion</t>
    </r>
  </si>
  <si>
    <r>
      <rPr>
        <b/>
        <sz val="9"/>
        <rFont val="Verdana"/>
        <family val="2"/>
      </rPr>
      <t>320</t>
    </r>
  </si>
  <si>
    <r>
      <rPr>
        <sz val="9"/>
        <rFont val="Verdana"/>
        <family val="2"/>
      </rPr>
      <t>1.1.2.2.01</t>
    </r>
  </si>
  <si>
    <r>
      <rPr>
        <sz val="11"/>
        <rFont val="Verdana"/>
        <family val="2"/>
      </rPr>
      <t>Administrations centrales et banques centrales</t>
    </r>
  </si>
  <si>
    <r>
      <rPr>
        <b/>
        <sz val="9"/>
        <rFont val="Verdana"/>
        <family val="2"/>
      </rPr>
      <t>330</t>
    </r>
  </si>
  <si>
    <r>
      <rPr>
        <sz val="9"/>
        <rFont val="Verdana"/>
        <family val="2"/>
      </rPr>
      <t>1.1.2.2.02</t>
    </r>
  </si>
  <si>
    <r>
      <rPr>
        <sz val="11"/>
        <rFont val="Verdana"/>
        <family val="2"/>
      </rPr>
      <t>Établissements</t>
    </r>
  </si>
  <si>
    <r>
      <rPr>
        <b/>
        <sz val="9"/>
        <rFont val="Verdana"/>
        <family val="2"/>
      </rPr>
      <t>340</t>
    </r>
  </si>
  <si>
    <r>
      <rPr>
        <sz val="9"/>
        <rFont val="Verdana"/>
        <family val="2"/>
      </rPr>
      <t>1.1.2.2.03</t>
    </r>
  </si>
  <si>
    <r>
      <rPr>
        <sz val="11"/>
        <rFont val="Verdana"/>
        <family val="2"/>
      </rPr>
      <t>Entreprises- PME</t>
    </r>
  </si>
  <si>
    <r>
      <rPr>
        <b/>
        <sz val="9"/>
        <rFont val="Verdana"/>
        <family val="2"/>
      </rPr>
      <t>350</t>
    </r>
  </si>
  <si>
    <r>
      <rPr>
        <sz val="9"/>
        <rFont val="Verdana"/>
        <family val="2"/>
      </rPr>
      <t>1.1.2.2.04</t>
    </r>
  </si>
  <si>
    <r>
      <rPr>
        <sz val="11"/>
        <rFont val="Verdana"/>
        <family val="2"/>
      </rPr>
      <t>Entreprises - Financements spécialisés</t>
    </r>
  </si>
  <si>
    <r>
      <rPr>
        <b/>
        <sz val="9"/>
        <rFont val="Verdana"/>
        <family val="2"/>
      </rPr>
      <t>360</t>
    </r>
  </si>
  <si>
    <r>
      <rPr>
        <sz val="9"/>
        <rFont val="Verdana"/>
        <family val="2"/>
      </rPr>
      <t>1.1.2.2.05</t>
    </r>
  </si>
  <si>
    <r>
      <rPr>
        <sz val="11"/>
        <rFont val="Verdana"/>
        <family val="2"/>
      </rPr>
      <t>Entreprises - Autres</t>
    </r>
  </si>
  <si>
    <r>
      <rPr>
        <b/>
        <sz val="9"/>
        <rFont val="Verdana"/>
        <family val="2"/>
      </rPr>
      <t>370</t>
    </r>
  </si>
  <si>
    <r>
      <rPr>
        <sz val="9"/>
        <rFont val="Verdana"/>
        <family val="2"/>
      </rPr>
      <t>1.1.2.2.06</t>
    </r>
  </si>
  <si>
    <r>
      <rPr>
        <sz val="11"/>
        <rFont val="Verdana"/>
        <family val="2"/>
      </rPr>
      <t>Clientèle de détail - Expositions garanties par des biens immobiliers PME</t>
    </r>
  </si>
  <si>
    <r>
      <rPr>
        <b/>
        <sz val="9"/>
        <rFont val="Verdana"/>
        <family val="2"/>
      </rPr>
      <t>380</t>
    </r>
  </si>
  <si>
    <r>
      <rPr>
        <sz val="9"/>
        <rFont val="Verdana"/>
        <family val="2"/>
      </rPr>
      <t>1.1.2.2.07</t>
    </r>
  </si>
  <si>
    <r>
      <rPr>
        <sz val="11"/>
        <rFont val="Verdana"/>
        <family val="2"/>
      </rPr>
      <t>Clientèle de détail - Expositions garanties par des biens immobiliers non-PME</t>
    </r>
  </si>
  <si>
    <r>
      <rPr>
        <b/>
        <sz val="9"/>
        <rFont val="Verdana"/>
        <family val="2"/>
      </rPr>
      <t>390</t>
    </r>
  </si>
  <si>
    <r>
      <rPr>
        <sz val="9"/>
        <rFont val="Verdana"/>
        <family val="2"/>
      </rPr>
      <t>1.1.2.2.08</t>
    </r>
  </si>
  <si>
    <r>
      <rPr>
        <sz val="11"/>
        <rFont val="Verdana"/>
        <family val="2"/>
      </rPr>
      <t>Clientèle de détail - Expositions renouvelables éligibles</t>
    </r>
  </si>
  <si>
    <r>
      <rPr>
        <b/>
        <sz val="9"/>
        <rFont val="Verdana"/>
        <family val="2"/>
      </rPr>
      <t>400</t>
    </r>
  </si>
  <si>
    <r>
      <rPr>
        <sz val="9"/>
        <rFont val="Verdana"/>
        <family val="2"/>
      </rPr>
      <t>1.1.2.2.09</t>
    </r>
  </si>
  <si>
    <r>
      <rPr>
        <sz val="11"/>
        <rFont val="Verdana"/>
        <family val="2"/>
      </rPr>
      <t>Clientèle de détail - Autres PME</t>
    </r>
  </si>
  <si>
    <r>
      <rPr>
        <b/>
        <sz val="9"/>
        <rFont val="Verdana"/>
        <family val="2"/>
      </rPr>
      <t>410</t>
    </r>
  </si>
  <si>
    <r>
      <rPr>
        <sz val="9"/>
        <rFont val="Verdana"/>
        <family val="2"/>
      </rPr>
      <t>1.1.2.2.10</t>
    </r>
  </si>
  <si>
    <r>
      <rPr>
        <sz val="11"/>
        <rFont val="Verdana"/>
        <family val="2"/>
      </rPr>
      <t>Clientèle de détail - Autres non-PME</t>
    </r>
  </si>
  <si>
    <r>
      <rPr>
        <b/>
        <sz val="9"/>
        <rFont val="Verdana"/>
        <family val="2"/>
      </rPr>
      <t>420</t>
    </r>
  </si>
  <si>
    <r>
      <rPr>
        <sz val="9"/>
        <rFont val="Verdana"/>
        <family val="2"/>
      </rPr>
      <t>1.1.2.3</t>
    </r>
  </si>
  <si>
    <r>
      <rPr>
        <sz val="11"/>
        <rFont val="Verdana"/>
        <family val="2"/>
      </rPr>
      <t>Actions en approche NI</t>
    </r>
  </si>
  <si>
    <r>
      <rPr>
        <b/>
        <sz val="9"/>
        <rFont val="Verdana"/>
        <family val="2"/>
      </rPr>
      <t>430</t>
    </r>
  </si>
  <si>
    <r>
      <rPr>
        <sz val="9"/>
        <rFont val="Verdana"/>
        <family val="2"/>
      </rPr>
      <t>1.1.2.4</t>
    </r>
  </si>
  <si>
    <r>
      <rPr>
        <sz val="11"/>
        <rFont val="Verdana"/>
        <family val="2"/>
      </rPr>
      <t>Positions de titrisation en approche NI</t>
    </r>
  </si>
  <si>
    <r>
      <rPr>
        <b/>
        <sz val="9"/>
        <rFont val="Verdana"/>
        <family val="2"/>
      </rPr>
      <t>440</t>
    </r>
  </si>
  <si>
    <r>
      <rPr>
        <sz val="9"/>
        <rFont val="Verdana"/>
        <family val="2"/>
      </rPr>
      <t>1.1.2.4*</t>
    </r>
  </si>
  <si>
    <r>
      <rPr>
        <i/>
        <sz val="11"/>
        <rFont val="Verdana"/>
        <family val="2"/>
      </rPr>
      <t>Dont: retitrisation</t>
    </r>
  </si>
  <si>
    <r>
      <rPr>
        <b/>
        <sz val="9"/>
        <rFont val="Verdana"/>
        <family val="2"/>
      </rPr>
      <t>450</t>
    </r>
  </si>
  <si>
    <r>
      <rPr>
        <sz val="9"/>
        <rFont val="Verdana"/>
        <family val="2"/>
      </rPr>
      <t>1.1.2.5</t>
    </r>
  </si>
  <si>
    <r>
      <rPr>
        <sz val="11"/>
        <rFont val="Verdana"/>
        <family val="2"/>
      </rPr>
      <t>Actifs autres que des obligations de crédit</t>
    </r>
  </si>
  <si>
    <r>
      <rPr>
        <b/>
        <sz val="9"/>
        <rFont val="Verdana"/>
        <family val="2"/>
      </rPr>
      <t>460</t>
    </r>
  </si>
  <si>
    <r>
      <rPr>
        <b/>
        <sz val="9"/>
        <rFont val="Verdana"/>
        <family val="2"/>
      </rPr>
      <t>1.1.3</t>
    </r>
  </si>
  <si>
    <r>
      <rPr>
        <b/>
        <sz val="11"/>
        <rFont val="Verdana"/>
        <family val="2"/>
      </rPr>
      <t>Montant de l'exposition au risque pour les contributions au fonds de défaillance d'une CCP</t>
    </r>
  </si>
  <si>
    <r>
      <rPr>
        <b/>
        <sz val="9"/>
        <rFont val="Verdana"/>
        <family val="2"/>
      </rPr>
      <t>490</t>
    </r>
  </si>
  <si>
    <r>
      <rPr>
        <b/>
        <sz val="9"/>
        <rFont val="Verdana"/>
        <family val="2"/>
      </rPr>
      <t>1.2</t>
    </r>
  </si>
  <si>
    <r>
      <rPr>
        <b/>
        <sz val="11"/>
        <rFont val="Verdana"/>
        <family val="2"/>
      </rPr>
      <t>MONTANT TOTAL DE L'EXPOSITION AU RISQUE DE RÈGLEMENT/LIVRAISON</t>
    </r>
  </si>
  <si>
    <r>
      <rPr>
        <b/>
        <sz val="9"/>
        <rFont val="Verdana"/>
        <family val="2"/>
      </rPr>
      <t>500</t>
    </r>
  </si>
  <si>
    <r>
      <rPr>
        <b/>
        <sz val="9"/>
        <rFont val="Verdana"/>
        <family val="2"/>
      </rPr>
      <t>1.2.1</t>
    </r>
  </si>
  <si>
    <r>
      <rPr>
        <b/>
        <sz val="11"/>
        <rFont val="Verdana"/>
        <family val="2"/>
      </rPr>
      <t>Risque de règlement/livraison dans le portefeuille hors négociation</t>
    </r>
  </si>
  <si>
    <r>
      <rPr>
        <b/>
        <sz val="9"/>
        <rFont val="Verdana"/>
        <family val="2"/>
      </rPr>
      <t>510</t>
    </r>
  </si>
  <si>
    <r>
      <rPr>
        <b/>
        <sz val="9"/>
        <rFont val="Verdana"/>
        <family val="2"/>
      </rPr>
      <t>1.2.2</t>
    </r>
  </si>
  <si>
    <r>
      <rPr>
        <b/>
        <sz val="11"/>
        <rFont val="Verdana"/>
        <family val="2"/>
      </rPr>
      <t>Risque de règlement/livraison dans le portefeuille de négociation</t>
    </r>
  </si>
  <si>
    <r>
      <rPr>
        <b/>
        <sz val="9"/>
        <rFont val="Verdana"/>
        <family val="2"/>
      </rPr>
      <t>520</t>
    </r>
  </si>
  <si>
    <r>
      <rPr>
        <b/>
        <sz val="9"/>
        <rFont val="Verdana"/>
        <family val="2"/>
      </rPr>
      <t>1.3</t>
    </r>
  </si>
  <si>
    <r>
      <rPr>
        <b/>
        <sz val="11"/>
        <rFont val="Verdana"/>
        <family val="2"/>
      </rPr>
      <t>MONTANT TOTAL D'EXPOSITION AU RISQUE DE POSITION, AU RISQUE DE CHANGE ET AU RISQUE SUR MATIÈRES PREMIÈRES</t>
    </r>
  </si>
  <si>
    <r>
      <rPr>
        <b/>
        <sz val="9"/>
        <rFont val="Verdana"/>
        <family val="2"/>
      </rPr>
      <t>530</t>
    </r>
  </si>
  <si>
    <r>
      <rPr>
        <b/>
        <sz val="9"/>
        <rFont val="Verdana"/>
        <family val="2"/>
      </rPr>
      <t>1.3.1</t>
    </r>
  </si>
  <si>
    <r>
      <rPr>
        <b/>
        <sz val="11"/>
        <rFont val="Verdana"/>
        <family val="2"/>
      </rPr>
      <t>Montant de l'exposition au risque de position, au risque de change et au risque sur matières premières en approches standard (SA)</t>
    </r>
  </si>
  <si>
    <r>
      <rPr>
        <b/>
        <sz val="9"/>
        <rFont val="Verdana"/>
        <family val="2"/>
      </rPr>
      <t>540</t>
    </r>
  </si>
  <si>
    <r>
      <rPr>
        <sz val="9"/>
        <rFont val="Verdana"/>
        <family val="2"/>
      </rPr>
      <t>1.3.1.1</t>
    </r>
  </si>
  <si>
    <r>
      <rPr>
        <sz val="11"/>
        <rFont val="Verdana"/>
        <family val="2"/>
      </rPr>
      <t>Titres de créance négociés</t>
    </r>
  </si>
  <si>
    <r>
      <rPr>
        <b/>
        <sz val="9"/>
        <rFont val="Verdana"/>
        <family val="2"/>
      </rPr>
      <t>550</t>
    </r>
  </si>
  <si>
    <r>
      <rPr>
        <sz val="9"/>
        <rFont val="Verdana"/>
        <family val="2"/>
      </rPr>
      <t>1.3.1.2</t>
    </r>
  </si>
  <si>
    <r>
      <rPr>
        <sz val="11"/>
        <rFont val="Verdana"/>
        <family val="2"/>
      </rPr>
      <t>Actions</t>
    </r>
  </si>
  <si>
    <r>
      <rPr>
        <b/>
        <sz val="9"/>
        <rFont val="Verdana"/>
        <family val="2"/>
      </rPr>
      <t>555</t>
    </r>
  </si>
  <si>
    <r>
      <rPr>
        <sz val="9"/>
        <rFont val="Verdana"/>
        <family val="2"/>
      </rPr>
      <t>1.3.1.3</t>
    </r>
  </si>
  <si>
    <r>
      <rPr>
        <sz val="11"/>
        <rFont val="Verdana"/>
        <family val="2"/>
      </rPr>
      <t>Approche spécifique du risque de position sur OPC</t>
    </r>
  </si>
  <si>
    <r>
      <rPr>
        <b/>
        <sz val="9"/>
        <rFont val="Verdana"/>
        <family val="2"/>
      </rPr>
      <t>556</t>
    </r>
  </si>
  <si>
    <r>
      <rPr>
        <sz val="9"/>
        <rFont val="Verdana"/>
        <family val="2"/>
      </rPr>
      <t>1.3.1.3*</t>
    </r>
  </si>
  <si>
    <r>
      <rPr>
        <sz val="11"/>
        <rFont val="Verdana"/>
        <family val="2"/>
      </rPr>
      <t>Pour mémoire: OPC exclusivement investis dans des titres de créance négociés</t>
    </r>
  </si>
  <si>
    <r>
      <rPr>
        <b/>
        <sz val="9"/>
        <rFont val="Verdana"/>
        <family val="2"/>
      </rPr>
      <t>557</t>
    </r>
  </si>
  <si>
    <r>
      <rPr>
        <sz val="9"/>
        <rFont val="Verdana"/>
        <family val="2"/>
      </rPr>
      <t>1.3.1.3**</t>
    </r>
  </si>
  <si>
    <r>
      <rPr>
        <sz val="11"/>
        <rFont val="Verdana"/>
        <family val="2"/>
      </rPr>
      <t>Pour mémoire: OPC exclusivement investis dans des instruments de fonds propres ou mixtes</t>
    </r>
  </si>
  <si>
    <r>
      <rPr>
        <b/>
        <sz val="9"/>
        <rFont val="Verdana"/>
        <family val="2"/>
      </rPr>
      <t>560</t>
    </r>
  </si>
  <si>
    <r>
      <rPr>
        <sz val="9"/>
        <rFont val="Verdana"/>
        <family val="2"/>
      </rPr>
      <t>1.3.1.4</t>
    </r>
  </si>
  <si>
    <r>
      <rPr>
        <sz val="11"/>
        <rFont val="Verdana"/>
        <family val="2"/>
      </rPr>
      <t>Change</t>
    </r>
  </si>
  <si>
    <r>
      <rPr>
        <b/>
        <sz val="9"/>
        <rFont val="Verdana"/>
        <family val="2"/>
      </rPr>
      <t>570</t>
    </r>
  </si>
  <si>
    <r>
      <rPr>
        <sz val="9"/>
        <rFont val="Verdana"/>
        <family val="2"/>
      </rPr>
      <t>1.3.1.5</t>
    </r>
  </si>
  <si>
    <r>
      <rPr>
        <sz val="11"/>
        <rFont val="Verdana"/>
        <family val="2"/>
      </rPr>
      <t>Matières premières</t>
    </r>
  </si>
  <si>
    <r>
      <rPr>
        <b/>
        <sz val="9"/>
        <rFont val="Verdana"/>
        <family val="2"/>
      </rPr>
      <t>580</t>
    </r>
  </si>
  <si>
    <r>
      <rPr>
        <b/>
        <sz val="9"/>
        <rFont val="Verdana"/>
        <family val="2"/>
      </rPr>
      <t>1.3.2</t>
    </r>
  </si>
  <si>
    <r>
      <rPr>
        <b/>
        <sz val="11"/>
        <rFont val="Verdana"/>
        <family val="2"/>
      </rPr>
      <t>Montant de l'exposition au risque de position, au risque de change et au risque sur matières premières selon l'approche fondée sur les modèles internes (IM)</t>
    </r>
  </si>
  <si>
    <r>
      <rPr>
        <b/>
        <sz val="9"/>
        <rFont val="Verdana"/>
        <family val="2"/>
      </rPr>
      <t>590</t>
    </r>
  </si>
  <si>
    <r>
      <rPr>
        <b/>
        <sz val="9"/>
        <rFont val="Verdana"/>
        <family val="2"/>
      </rPr>
      <t>1.4</t>
    </r>
  </si>
  <si>
    <r>
      <rPr>
        <b/>
        <sz val="11"/>
        <rFont val="Verdana"/>
        <family val="2"/>
      </rPr>
      <t>MONTANT TOTAL D’EXPOSITION AU RISQUE OPÉRATIONNEL (ROp)</t>
    </r>
  </si>
  <si>
    <r>
      <rPr>
        <b/>
        <sz val="9"/>
        <rFont val="Verdana"/>
        <family val="2"/>
      </rPr>
      <t>600</t>
    </r>
  </si>
  <si>
    <r>
      <rPr>
        <b/>
        <sz val="9"/>
        <rFont val="Verdana"/>
        <family val="2"/>
      </rPr>
      <t>1.4.1.</t>
    </r>
  </si>
  <si>
    <r>
      <rPr>
        <b/>
        <sz val="11"/>
        <rFont val="Verdana"/>
        <family val="2"/>
      </rPr>
      <t>Approche élémentaire (BIA) du ROp</t>
    </r>
  </si>
  <si>
    <r>
      <rPr>
        <b/>
        <sz val="9"/>
        <rFont val="Verdana"/>
        <family val="2"/>
      </rPr>
      <t>610</t>
    </r>
  </si>
  <si>
    <r>
      <rPr>
        <b/>
        <sz val="9"/>
        <rFont val="Verdana"/>
        <family val="2"/>
      </rPr>
      <t>1.4.2.</t>
    </r>
  </si>
  <si>
    <r>
      <rPr>
        <b/>
        <sz val="11"/>
        <rFont val="Verdana"/>
        <family val="2"/>
      </rPr>
      <t>Approches standard (STA)/Approches standard de remplacement (ASA) du ROp</t>
    </r>
  </si>
  <si>
    <r>
      <rPr>
        <b/>
        <sz val="9"/>
        <rFont val="Verdana"/>
        <family val="2"/>
      </rPr>
      <t>620</t>
    </r>
  </si>
  <si>
    <r>
      <rPr>
        <b/>
        <sz val="9"/>
        <rFont val="Verdana"/>
        <family val="2"/>
      </rPr>
      <t>1.4.3.</t>
    </r>
  </si>
  <si>
    <r>
      <rPr>
        <b/>
        <sz val="11"/>
        <rFont val="Verdana"/>
        <family val="2"/>
      </rPr>
      <t>Approches par mesure avancée (AMA) du ROp</t>
    </r>
  </si>
  <si>
    <r>
      <rPr>
        <b/>
        <sz val="9"/>
        <rFont val="Verdana"/>
        <family val="2"/>
      </rPr>
      <t>630</t>
    </r>
  </si>
  <si>
    <r>
      <rPr>
        <b/>
        <sz val="9"/>
        <rFont val="Verdana"/>
        <family val="2"/>
      </rPr>
      <t>1.5</t>
    </r>
  </si>
  <si>
    <r>
      <rPr>
        <b/>
        <sz val="11"/>
        <rFont val="Verdana"/>
        <family val="2"/>
      </rPr>
      <t>MONTANT D'EXPOSITION AU RISQUE SUPPLÉMENTAIRE LIÉ AUX FRAIS FIXES</t>
    </r>
  </si>
  <si>
    <r>
      <rPr>
        <b/>
        <sz val="9"/>
        <rFont val="Verdana"/>
        <family val="2"/>
      </rPr>
      <t>640</t>
    </r>
  </si>
  <si>
    <r>
      <rPr>
        <b/>
        <sz val="9"/>
        <rFont val="Verdana"/>
        <family val="2"/>
      </rPr>
      <t>1.6</t>
    </r>
  </si>
  <si>
    <r>
      <rPr>
        <b/>
        <sz val="11"/>
        <rFont val="Verdana"/>
        <family val="2"/>
      </rPr>
      <t>MONTANT TOTAL D'EXPOSITION AU RISQUE D'AJUSTEMENT DE L'ÉVALUATION DE CRÉDIT</t>
    </r>
  </si>
  <si>
    <r>
      <rPr>
        <b/>
        <sz val="9"/>
        <rFont val="Verdana"/>
        <family val="2"/>
      </rPr>
      <t>650</t>
    </r>
  </si>
  <si>
    <r>
      <rPr>
        <b/>
        <sz val="9"/>
        <rFont val="Verdana"/>
        <family val="2"/>
      </rPr>
      <t>1.6.1</t>
    </r>
  </si>
  <si>
    <r>
      <rPr>
        <b/>
        <sz val="11"/>
        <rFont val="Verdana"/>
        <family val="2"/>
      </rPr>
      <t>Méthode avancée</t>
    </r>
  </si>
  <si>
    <r>
      <rPr>
        <b/>
        <sz val="9"/>
        <rFont val="Verdana"/>
        <family val="2"/>
      </rPr>
      <t>660</t>
    </r>
  </si>
  <si>
    <r>
      <rPr>
        <b/>
        <sz val="9"/>
        <rFont val="Verdana"/>
        <family val="2"/>
      </rPr>
      <t>1.6.2</t>
    </r>
  </si>
  <si>
    <r>
      <rPr>
        <b/>
        <sz val="11"/>
        <rFont val="Verdana"/>
        <family val="2"/>
      </rPr>
      <t>Méthode standard</t>
    </r>
  </si>
  <si>
    <r>
      <rPr>
        <b/>
        <sz val="9"/>
        <rFont val="Verdana"/>
        <family val="2"/>
      </rPr>
      <t>670</t>
    </r>
  </si>
  <si>
    <r>
      <rPr>
        <b/>
        <sz val="9"/>
        <rFont val="Verdana"/>
        <family val="2"/>
      </rPr>
      <t>1.6.3</t>
    </r>
  </si>
  <si>
    <r>
      <rPr>
        <b/>
        <sz val="11"/>
        <rFont val="Verdana"/>
        <family val="2"/>
      </rPr>
      <t>Méthode de l'exposition initiale</t>
    </r>
  </si>
  <si>
    <r>
      <rPr>
        <b/>
        <sz val="9"/>
        <rFont val="Verdana"/>
        <family val="2"/>
      </rPr>
      <t>680</t>
    </r>
  </si>
  <si>
    <r>
      <rPr>
        <b/>
        <sz val="9"/>
        <rFont val="Verdana"/>
        <family val="2"/>
      </rPr>
      <t>1.7</t>
    </r>
  </si>
  <si>
    <r>
      <rPr>
        <b/>
        <sz val="11"/>
        <rFont val="Verdana"/>
        <family val="2"/>
      </rPr>
      <t>MONTANT TOTAL D'EXPOSITION LIÉ AUX GRANDS RISQUES DU PORTEFEUILLE DE NÉGOCIATION</t>
    </r>
  </si>
  <si>
    <r>
      <rPr>
        <b/>
        <sz val="9"/>
        <rFont val="Verdana"/>
        <family val="2"/>
      </rPr>
      <t>690</t>
    </r>
  </si>
  <si>
    <r>
      <rPr>
        <b/>
        <sz val="9"/>
        <rFont val="Verdana"/>
        <family val="2"/>
      </rPr>
      <t>1.8</t>
    </r>
  </si>
  <si>
    <r>
      <rPr>
        <b/>
        <sz val="11"/>
        <rFont val="Verdana"/>
        <family val="2"/>
      </rPr>
      <t>MONTANTS D'EXPOSITION AUX AUTRES RISQUES</t>
    </r>
  </si>
  <si>
    <r>
      <rPr>
        <b/>
        <sz val="9"/>
        <rFont val="Verdana"/>
        <family val="2"/>
      </rPr>
      <t>710</t>
    </r>
  </si>
  <si>
    <r>
      <rPr>
        <b/>
        <sz val="9"/>
        <rFont val="Verdana"/>
        <family val="2"/>
      </rPr>
      <t>1.8.2</t>
    </r>
  </si>
  <si>
    <r>
      <rPr>
        <b/>
        <sz val="11"/>
        <rFont val="Verdana"/>
        <family val="2"/>
      </rPr>
      <t>Dont: Exigences prudentielles plus strictes supplémentaires en vertu de l'art. 458</t>
    </r>
  </si>
  <si>
    <r>
      <rPr>
        <b/>
        <sz val="9"/>
        <rFont val="Verdana"/>
        <family val="2"/>
      </rPr>
      <t>720</t>
    </r>
  </si>
  <si>
    <r>
      <rPr>
        <sz val="9"/>
        <rFont val="Verdana"/>
        <family val="2"/>
      </rPr>
      <t>1.8.2*</t>
    </r>
  </si>
  <si>
    <r>
      <rPr>
        <sz val="11"/>
        <rFont val="Verdana"/>
        <family val="2"/>
      </rPr>
      <t>Dont: exigences pour grands risques</t>
    </r>
  </si>
  <si>
    <r>
      <rPr>
        <b/>
        <sz val="9"/>
        <rFont val="Verdana"/>
        <family val="2"/>
      </rPr>
      <t>730</t>
    </r>
  </si>
  <si>
    <r>
      <rPr>
        <sz val="9"/>
        <rFont val="Verdana"/>
        <family val="2"/>
      </rPr>
      <t>1.8.2**</t>
    </r>
  </si>
  <si>
    <r>
      <rPr>
        <sz val="11"/>
        <rFont val="Verdana"/>
        <family val="2"/>
      </rPr>
      <t>Dont: pondérations de risque modifiées pour faire face aux bulles d'actifs dans l'immobilier à usage résidentiel et commercial</t>
    </r>
  </si>
  <si>
    <r>
      <rPr>
        <b/>
        <sz val="9"/>
        <rFont val="Verdana"/>
        <family val="2"/>
      </rPr>
      <t>740</t>
    </r>
  </si>
  <si>
    <r>
      <rPr>
        <sz val="9"/>
        <rFont val="Verdana"/>
        <family val="2"/>
      </rPr>
      <t>1.8.2***</t>
    </r>
  </si>
  <si>
    <r>
      <rPr>
        <sz val="11"/>
        <rFont val="Verdana"/>
        <family val="2"/>
      </rPr>
      <t>Dont: expositions au sein du secteur financier</t>
    </r>
  </si>
  <si>
    <r>
      <rPr>
        <b/>
        <sz val="9"/>
        <rFont val="Verdana"/>
        <family val="2"/>
      </rPr>
      <t>750</t>
    </r>
  </si>
  <si>
    <r>
      <rPr>
        <b/>
        <sz val="9"/>
        <rFont val="Verdana"/>
        <family val="2"/>
      </rPr>
      <t>1.8.3</t>
    </r>
  </si>
  <si>
    <r>
      <rPr>
        <b/>
        <sz val="11"/>
        <rFont val="Verdana"/>
        <family val="2"/>
      </rPr>
      <t>Dont: Exigences prudentielles plus strictes supplémentaires en vertu de l'art. 459</t>
    </r>
  </si>
  <si>
    <r>
      <rPr>
        <b/>
        <sz val="9"/>
        <rFont val="Verdana"/>
        <family val="2"/>
      </rPr>
      <t>760</t>
    </r>
  </si>
  <si>
    <r>
      <rPr>
        <b/>
        <sz val="9"/>
        <rFont val="Verdana"/>
        <family val="2"/>
      </rPr>
      <t>1.8.4</t>
    </r>
  </si>
  <si>
    <r>
      <rPr>
        <b/>
        <i/>
        <sz val="11"/>
        <rFont val="Verdana"/>
        <family val="2"/>
      </rPr>
      <t>Dont: Montant d'exposition au risque supplémentaire lié à l'article 3 du CRR</t>
    </r>
  </si>
  <si>
    <r>
      <rPr>
        <b/>
        <sz val="14"/>
        <color rgb="FF000000"/>
        <rFont val="Verdana"/>
        <family val="2"/>
      </rPr>
      <t>C 03.00 – RATIOS DE FONDS PROPRES ET NIVEAUX DE FONDS PROPRES (CA3)</t>
    </r>
  </si>
  <si>
    <r>
      <rPr>
        <b/>
        <sz val="11"/>
        <rFont val="Verdana"/>
        <family val="2"/>
      </rPr>
      <t>Ligne</t>
    </r>
  </si>
  <si>
    <r>
      <rPr>
        <b/>
        <sz val="11"/>
        <rFont val="Verdana"/>
        <family val="2"/>
      </rPr>
      <t>ID</t>
    </r>
  </si>
  <si>
    <r>
      <rPr>
        <b/>
        <sz val="11"/>
        <rFont val="Verdana"/>
        <family val="2"/>
      </rPr>
      <t>Poste</t>
    </r>
  </si>
  <si>
    <r>
      <rPr>
        <b/>
        <sz val="11"/>
        <rFont val="Verdana"/>
        <family val="2"/>
      </rPr>
      <t>Montant</t>
    </r>
  </si>
  <si>
    <r>
      <rPr>
        <sz val="9"/>
        <color rgb="FF000000"/>
        <rFont val="Verdana"/>
        <family val="2"/>
      </rPr>
      <t>010</t>
    </r>
  </si>
  <si>
    <r>
      <rPr>
        <b/>
        <sz val="11"/>
        <color rgb="FF000000"/>
        <rFont val="Verdana"/>
        <family val="2"/>
      </rPr>
      <t>Ratio de fonds propres CET1</t>
    </r>
  </si>
  <si>
    <r>
      <rPr>
        <sz val="9"/>
        <color rgb="FF000000"/>
        <rFont val="Verdana"/>
        <family val="2"/>
      </rPr>
      <t>020</t>
    </r>
  </si>
  <si>
    <r>
      <rPr>
        <b/>
        <sz val="11"/>
        <color rgb="FF000000"/>
        <rFont val="Verdana"/>
        <family val="2"/>
      </rPr>
      <t>Surplus (+)/ Déficit (-) de fonds propres CET1</t>
    </r>
  </si>
  <si>
    <r>
      <rPr>
        <sz val="9"/>
        <color rgb="FF000000"/>
        <rFont val="Verdana"/>
        <family val="2"/>
      </rPr>
      <t>030</t>
    </r>
  </si>
  <si>
    <r>
      <rPr>
        <b/>
        <sz val="11"/>
        <color rgb="FF000000"/>
        <rFont val="Verdana"/>
        <family val="2"/>
      </rPr>
      <t>Ratio de fonds propres T1</t>
    </r>
  </si>
  <si>
    <r>
      <rPr>
        <sz val="9"/>
        <color rgb="FF000000"/>
        <rFont val="Verdana"/>
        <family val="2"/>
      </rPr>
      <t>040</t>
    </r>
  </si>
  <si>
    <r>
      <rPr>
        <b/>
        <sz val="11"/>
        <color rgb="FF000000"/>
        <rFont val="Verdana"/>
        <family val="2"/>
      </rPr>
      <t>Surplus (+)/ Déficit (-) de fonds propres T1</t>
    </r>
  </si>
  <si>
    <r>
      <rPr>
        <sz val="9"/>
        <color rgb="FF000000"/>
        <rFont val="Verdana"/>
        <family val="2"/>
      </rPr>
      <t>050</t>
    </r>
  </si>
  <si>
    <r>
      <rPr>
        <b/>
        <sz val="11"/>
        <color rgb="FF000000"/>
        <rFont val="Verdana"/>
        <family val="2"/>
      </rPr>
      <t>Ratio de fonds propres total</t>
    </r>
  </si>
  <si>
    <r>
      <rPr>
        <sz val="9"/>
        <color rgb="FF000000"/>
        <rFont val="Verdana"/>
        <family val="2"/>
      </rPr>
      <t>060</t>
    </r>
  </si>
  <si>
    <r>
      <rPr>
        <b/>
        <sz val="11"/>
        <color rgb="FF000000"/>
        <rFont val="Verdana"/>
        <family val="2"/>
      </rPr>
      <t>Surplus (+)/ Déficit (-) de fonds propres total</t>
    </r>
  </si>
  <si>
    <r>
      <rPr>
        <b/>
        <sz val="11"/>
        <rFont val="Verdana"/>
        <family val="2"/>
      </rPr>
      <t>Pour mémoire: Ratios de fonds propres dus aux ajustements du pilier II</t>
    </r>
  </si>
  <si>
    <r>
      <rPr>
        <sz val="9"/>
        <color rgb="FF000000"/>
        <rFont val="Verdana"/>
        <family val="2"/>
      </rPr>
      <t>070</t>
    </r>
  </si>
  <si>
    <r>
      <rPr>
        <b/>
        <sz val="11"/>
        <color rgb="FF000000"/>
        <rFont val="Verdana"/>
        <family val="2"/>
      </rPr>
      <t>Ratio de fonds propres CET1 comprenant les ajustements du pilier II</t>
    </r>
  </si>
  <si>
    <r>
      <rPr>
        <sz val="9"/>
        <color rgb="FF000000"/>
        <rFont val="Verdana"/>
        <family val="2"/>
      </rPr>
      <t>080</t>
    </r>
  </si>
  <si>
    <r>
      <rPr>
        <b/>
        <sz val="11"/>
        <color rgb="FF000000"/>
        <rFont val="Verdana"/>
        <family val="2"/>
      </rPr>
      <t>Ratio de fonds propres CET1 cible dû aux ajustements du pilier II</t>
    </r>
  </si>
  <si>
    <r>
      <rPr>
        <sz val="9"/>
        <color rgb="FF000000"/>
        <rFont val="Verdana"/>
        <family val="2"/>
      </rPr>
      <t>090</t>
    </r>
  </si>
  <si>
    <r>
      <rPr>
        <b/>
        <sz val="11"/>
        <color rgb="FF000000"/>
        <rFont val="Verdana"/>
        <family val="2"/>
      </rPr>
      <t>Ratio de fonds propres T1 comprenant les ajustements du pilier II</t>
    </r>
  </si>
  <si>
    <r>
      <rPr>
        <sz val="9"/>
        <color rgb="FF000000"/>
        <rFont val="Verdana"/>
        <family val="2"/>
      </rPr>
      <t>100</t>
    </r>
  </si>
  <si>
    <r>
      <rPr>
        <b/>
        <sz val="11"/>
        <color rgb="FF000000"/>
        <rFont val="Verdana"/>
        <family val="2"/>
      </rPr>
      <t>Ratio de fonds propres T1 cible dû aux ajustements du pilier II</t>
    </r>
  </si>
  <si>
    <r>
      <rPr>
        <sz val="9"/>
        <color rgb="FF000000"/>
        <rFont val="Verdana"/>
        <family val="2"/>
      </rPr>
      <t>110</t>
    </r>
  </si>
  <si>
    <r>
      <rPr>
        <b/>
        <sz val="11"/>
        <color rgb="FF000000"/>
        <rFont val="Verdana"/>
        <family val="2"/>
      </rPr>
      <t>Ratio de fonds propres total comprenant les ajustements du pilier II</t>
    </r>
  </si>
  <si>
    <r>
      <rPr>
        <sz val="9"/>
        <color rgb="FF000000"/>
        <rFont val="Verdana"/>
        <family val="2"/>
      </rPr>
      <t>120</t>
    </r>
  </si>
  <si>
    <r>
      <rPr>
        <b/>
        <sz val="11"/>
        <color rgb="FF000000"/>
        <rFont val="Verdana"/>
        <family val="2"/>
      </rPr>
      <t>Ratio de fonds propres total cible dû aux ajustements du pilier II</t>
    </r>
  </si>
  <si>
    <r>
      <rPr>
        <b/>
        <sz val="14"/>
        <color rgb="FF000000"/>
        <rFont val="Verdana"/>
        <family val="2"/>
      </rPr>
      <t>C 04.00 – ÉLÉMENTS POUR MÉMOIRE (CA4)</t>
    </r>
  </si>
  <si>
    <r>
      <rPr>
        <b/>
        <sz val="11"/>
        <rFont val="Verdana"/>
        <family val="2"/>
      </rPr>
      <t>Ligne</t>
    </r>
  </si>
  <si>
    <r>
      <rPr>
        <b/>
        <sz val="11"/>
        <rFont val="Verdana"/>
        <family val="2"/>
      </rPr>
      <t>ID</t>
    </r>
  </si>
  <si>
    <r>
      <rPr>
        <b/>
        <sz val="11"/>
        <rFont val="Verdana"/>
        <family val="2"/>
      </rPr>
      <t>Poste</t>
    </r>
  </si>
  <si>
    <r>
      <rPr>
        <b/>
        <sz val="11"/>
        <rFont val="Verdana"/>
        <family val="2"/>
      </rPr>
      <t>Colonne</t>
    </r>
  </si>
  <si>
    <r>
      <rPr>
        <b/>
        <sz val="11"/>
        <rFont val="Verdana"/>
        <family val="2"/>
      </rPr>
      <t>Actifs et passifs d’impôt différé</t>
    </r>
  </si>
  <si>
    <r>
      <rPr>
        <b/>
        <sz val="11"/>
        <rFont val="Verdana"/>
        <family val="2"/>
      </rPr>
      <t>010</t>
    </r>
  </si>
  <si>
    <r>
      <rPr>
        <sz val="9"/>
        <color rgb="FF000000"/>
        <rFont val="Verdana"/>
        <family val="2"/>
      </rPr>
      <t>010</t>
    </r>
  </si>
  <si>
    <r>
      <rPr>
        <b/>
        <sz val="11"/>
        <color rgb="FF000000"/>
        <rFont val="Verdana"/>
        <family val="2"/>
      </rPr>
      <t>Actifs d'impôt différé totaux</t>
    </r>
  </si>
  <si>
    <r>
      <rPr>
        <sz val="9"/>
        <color rgb="FF000000"/>
        <rFont val="Verdana"/>
        <family val="2"/>
      </rPr>
      <t>020</t>
    </r>
  </si>
  <si>
    <r>
      <rPr>
        <sz val="11"/>
        <color rgb="FF000000"/>
        <rFont val="Verdana"/>
        <family val="2"/>
      </rPr>
      <t>Actifs d'impôt différé ne dépendant pas de bénéfices futurs</t>
    </r>
  </si>
  <si>
    <r>
      <rPr>
        <sz val="9"/>
        <color rgb="FF000000"/>
        <rFont val="Verdana"/>
        <family val="2"/>
      </rPr>
      <t>030</t>
    </r>
  </si>
  <si>
    <r>
      <rPr>
        <sz val="11"/>
        <color rgb="FF000000"/>
        <rFont val="Verdana"/>
        <family val="2"/>
      </rPr>
      <t>Actifs d'impôt différé dépendant de bénéfices futurs et ne résultant pas de différences temporelles</t>
    </r>
  </si>
  <si>
    <r>
      <rPr>
        <sz val="9"/>
        <color rgb="FF000000"/>
        <rFont val="Verdana"/>
        <family val="2"/>
      </rPr>
      <t>040</t>
    </r>
  </si>
  <si>
    <r>
      <rPr>
        <sz val="11"/>
        <color rgb="FF000000"/>
        <rFont val="Verdana"/>
        <family val="2"/>
      </rPr>
      <t>Actifs d'impôt différé dépendant de bénéfices futurs et résultant de différences temporelles</t>
    </r>
  </si>
  <si>
    <r>
      <rPr>
        <sz val="9"/>
        <color rgb="FF000000"/>
        <rFont val="Verdana"/>
        <family val="2"/>
      </rPr>
      <t>050</t>
    </r>
  </si>
  <si>
    <r>
      <rPr>
        <b/>
        <sz val="11"/>
        <color rgb="FF000000"/>
        <rFont val="Verdana"/>
        <family val="2"/>
      </rPr>
      <t>Passifs d’impôt différé totaux</t>
    </r>
  </si>
  <si>
    <r>
      <rPr>
        <sz val="9"/>
        <color rgb="FF000000"/>
        <rFont val="Verdana"/>
        <family val="2"/>
      </rPr>
      <t>060</t>
    </r>
  </si>
  <si>
    <r>
      <rPr>
        <sz val="11"/>
        <color rgb="FF000000"/>
        <rFont val="Verdana"/>
        <family val="2"/>
      </rPr>
      <t>Passifs d'impôt différé non déductibles des actifs d'impôt différé dépendant de bénéfices futurs</t>
    </r>
  </si>
  <si>
    <r>
      <rPr>
        <sz val="9"/>
        <color rgb="FF000000"/>
        <rFont val="Verdana"/>
        <family val="2"/>
      </rPr>
      <t>070</t>
    </r>
  </si>
  <si>
    <r>
      <rPr>
        <sz val="11"/>
        <color rgb="FF000000"/>
        <rFont val="Verdana"/>
        <family val="2"/>
      </rPr>
      <t>Passifs d'impôt différé déductibles des actifs d'impôt différé dépendant de bénéfices futurs</t>
    </r>
  </si>
  <si>
    <r>
      <rPr>
        <sz val="9"/>
        <color rgb="FF000000"/>
        <rFont val="Verdana"/>
        <family val="2"/>
      </rPr>
      <t>080</t>
    </r>
  </si>
  <si>
    <r>
      <rPr>
        <sz val="11"/>
        <rFont val="Verdana"/>
        <family val="2"/>
      </rPr>
      <t>Passifs d'impôt différé associés aux actifs d'impôt différé dépendant de bénéfices futurs et ne résultant pas de différences temporelles</t>
    </r>
  </si>
  <si>
    <r>
      <rPr>
        <sz val="9"/>
        <color rgb="FF000000"/>
        <rFont val="Verdana"/>
        <family val="2"/>
      </rPr>
      <t>090</t>
    </r>
  </si>
  <si>
    <r>
      <rPr>
        <sz val="11"/>
        <color rgb="FF000000"/>
        <rFont val="Verdana"/>
        <family val="2"/>
      </rPr>
      <t>Passifs d'impôt différé associés aux actifs d'impôt différé dépendant de bénéfices futurs et résultant de différences temporelles</t>
    </r>
  </si>
  <si>
    <r>
      <rPr>
        <sz val="9"/>
        <color rgb="FF000000"/>
        <rFont val="Verdana"/>
        <family val="2"/>
      </rPr>
      <t>093</t>
    </r>
  </si>
  <si>
    <r>
      <rPr>
        <sz val="9"/>
        <color rgb="FF000000"/>
        <rFont val="Verdana"/>
        <family val="2"/>
      </rPr>
      <t>2A</t>
    </r>
  </si>
  <si>
    <r>
      <rPr>
        <b/>
        <sz val="11"/>
        <color rgb="FF000000"/>
        <rFont val="Verdana"/>
        <family val="2"/>
      </rPr>
      <t>Excédents d'impôts et reports de déficits fiscaux</t>
    </r>
  </si>
  <si>
    <r>
      <rPr>
        <sz val="9"/>
        <color rgb="FF000000"/>
        <rFont val="Verdana"/>
        <family val="2"/>
      </rPr>
      <t>096</t>
    </r>
  </si>
  <si>
    <r>
      <rPr>
        <sz val="9"/>
        <color rgb="FF000000"/>
        <rFont val="Verdana"/>
        <family val="2"/>
      </rPr>
      <t>2B</t>
    </r>
  </si>
  <si>
    <r>
      <rPr>
        <b/>
        <sz val="11"/>
        <color rgb="FF000000"/>
        <rFont val="Verdana"/>
        <family val="2"/>
      </rPr>
      <t>Actifs d'impôt différé soumis à une pondération de risque de 250 %</t>
    </r>
  </si>
  <si>
    <r>
      <rPr>
        <sz val="9"/>
        <color rgb="FF000000"/>
        <rFont val="Verdana"/>
        <family val="2"/>
      </rPr>
      <t>097</t>
    </r>
  </si>
  <si>
    <r>
      <rPr>
        <sz val="9"/>
        <color rgb="FF000000"/>
        <rFont val="Verdana"/>
        <family val="2"/>
      </rPr>
      <t>2C</t>
    </r>
  </si>
  <si>
    <r>
      <rPr>
        <b/>
        <sz val="11"/>
        <color rgb="FF000000"/>
        <rFont val="Verdana"/>
        <family val="2"/>
      </rPr>
      <t>Actifs d'impôt différé soumis à une pondération de risque de 0 %</t>
    </r>
  </si>
  <si>
    <r>
      <rPr>
        <b/>
        <sz val="11"/>
        <rFont val="Verdana"/>
        <family val="2"/>
      </rPr>
      <t>Ajustements pour risque de crédit et pertes anticipées</t>
    </r>
  </si>
  <si>
    <r>
      <rPr>
        <sz val="9"/>
        <color rgb="FF000000"/>
        <rFont val="Verdana"/>
        <family val="2"/>
      </rPr>
      <t>100</t>
    </r>
  </si>
  <si>
    <r>
      <rPr>
        <b/>
        <sz val="11"/>
        <rFont val="Verdana"/>
        <family val="2"/>
      </rPr>
      <t>Excès (+) ou insuffisance (-) NI des ajustements pour risque de crédit, des corrections de valeur supplémentaires, et des autres réductions de fonds propres par rapport aux pertes anticipées sur les expositions non en défaut</t>
    </r>
  </si>
  <si>
    <r>
      <rPr>
        <sz val="9"/>
        <color rgb="FF000000"/>
        <rFont val="Verdana"/>
        <family val="2"/>
      </rPr>
      <t>110</t>
    </r>
  </si>
  <si>
    <r>
      <rPr>
        <sz val="11"/>
        <rFont val="Verdana"/>
        <family val="2"/>
      </rPr>
      <t>Total des ajustements pour risque de crédit, des corrections de valeur supplémentaires, et des autres réductions des fonds propres pouvant être pris en compte dans le calcul du montant des pertes anticipées</t>
    </r>
  </si>
  <si>
    <r>
      <rPr>
        <sz val="9"/>
        <color rgb="FF000000"/>
        <rFont val="Verdana"/>
        <family val="2"/>
      </rPr>
      <t>120</t>
    </r>
  </si>
  <si>
    <r>
      <rPr>
        <sz val="11"/>
        <rFont val="Verdana"/>
        <family val="2"/>
      </rPr>
      <t>Ajustements pour risque de crédit général</t>
    </r>
  </si>
  <si>
    <r>
      <rPr>
        <sz val="9"/>
        <color rgb="FF000000"/>
        <rFont val="Verdana"/>
        <family val="2"/>
      </rPr>
      <t>130</t>
    </r>
  </si>
  <si>
    <r>
      <rPr>
        <sz val="11"/>
        <rFont val="Verdana"/>
        <family val="2"/>
      </rPr>
      <t>Ajustements pour risque de crédit spécifique</t>
    </r>
  </si>
  <si>
    <r>
      <rPr>
        <sz val="9"/>
        <color rgb="FF000000"/>
        <rFont val="Verdana"/>
        <family val="2"/>
      </rPr>
      <t>131</t>
    </r>
  </si>
  <si>
    <r>
      <rPr>
        <sz val="11"/>
        <rFont val="Verdana"/>
        <family val="2"/>
      </rPr>
      <t>Corrections de valeur supplémentaires et autres réductions de fonds propres</t>
    </r>
  </si>
  <si>
    <r>
      <rPr>
        <sz val="9"/>
        <color rgb="FF000000"/>
        <rFont val="Verdana"/>
        <family val="2"/>
      </rPr>
      <t>140</t>
    </r>
  </si>
  <si>
    <r>
      <rPr>
        <sz val="11"/>
        <rFont val="Verdana"/>
        <family val="2"/>
      </rPr>
      <t xml:space="preserve">Total des pertes anticipées éligibles </t>
    </r>
  </si>
  <si>
    <r>
      <rPr>
        <sz val="9"/>
        <color rgb="FF000000"/>
        <rFont val="Verdana"/>
        <family val="2"/>
      </rPr>
      <t>145</t>
    </r>
  </si>
  <si>
    <r>
      <rPr>
        <b/>
        <sz val="11"/>
        <rFont val="Verdana"/>
        <family val="2"/>
      </rPr>
      <t>Excès (+) ou insuffisance (-) NI des ajustements pour risque de crédit par rapport aux pertes anticipées sur les expositions en défaut</t>
    </r>
  </si>
  <si>
    <r>
      <rPr>
        <sz val="9"/>
        <color rgb="FF000000"/>
        <rFont val="Verdana"/>
        <family val="2"/>
      </rPr>
      <t>150</t>
    </r>
  </si>
  <si>
    <r>
      <rPr>
        <sz val="11"/>
        <rFont val="Verdana"/>
        <family val="2"/>
      </rPr>
      <t>Ajustements pour risque de crédit spécifique et positions traitées de la même façon</t>
    </r>
  </si>
  <si>
    <r>
      <rPr>
        <sz val="9"/>
        <color rgb="FF000000"/>
        <rFont val="Verdana"/>
        <family val="2"/>
      </rPr>
      <t>155</t>
    </r>
  </si>
  <si>
    <r>
      <rPr>
        <sz val="11"/>
        <rFont val="Verdana"/>
        <family val="2"/>
      </rPr>
      <t xml:space="preserve">Total des pertes anticipées éligibles </t>
    </r>
  </si>
  <si>
    <r>
      <rPr>
        <sz val="9"/>
        <color rgb="FF000000"/>
        <rFont val="Verdana"/>
        <family val="2"/>
      </rPr>
      <t>160</t>
    </r>
  </si>
  <si>
    <r>
      <rPr>
        <b/>
        <sz val="11"/>
        <rFont val="Verdana"/>
        <family val="2"/>
      </rPr>
      <t>Montants d’exposition pondérés pour le calcul du plafond de l’excès de provision pouvant être considéré comme T2</t>
    </r>
  </si>
  <si>
    <r>
      <rPr>
        <sz val="9"/>
        <color rgb="FF000000"/>
        <rFont val="Verdana"/>
        <family val="2"/>
      </rPr>
      <t>170</t>
    </r>
  </si>
  <si>
    <r>
      <rPr>
        <b/>
        <sz val="11"/>
        <rFont val="Verdana"/>
        <family val="2"/>
      </rPr>
      <t>Total des provisions brutes pouvant être incluses dans les fonds propres T2</t>
    </r>
  </si>
  <si>
    <r>
      <rPr>
        <sz val="9"/>
        <color rgb="FF000000"/>
        <rFont val="Verdana"/>
        <family val="2"/>
      </rPr>
      <t>180</t>
    </r>
  </si>
  <si>
    <r>
      <rPr>
        <b/>
        <sz val="11"/>
        <rFont val="Verdana"/>
        <family val="2"/>
      </rPr>
      <t>Montants d'exposition pondérés pour le calcul du plafond de la provision pouvant être considérée comme T2</t>
    </r>
  </si>
  <si>
    <r>
      <rPr>
        <b/>
        <sz val="11"/>
        <rFont val="Verdana"/>
        <family val="2"/>
      </rPr>
      <t>Seuils pour les déductions des fonds propres de base de catégorie 1</t>
    </r>
  </si>
  <si>
    <r>
      <rPr>
        <b/>
        <sz val="11"/>
        <rFont val="Verdana"/>
        <family val="2"/>
      </rPr>
      <t>Seuil non déductible des participations dans des entités du secteur financier dans lesquelles un établissement ne détient pas d'investissement important</t>
    </r>
  </si>
  <si>
    <r>
      <rPr>
        <b/>
        <sz val="11"/>
        <rFont val="Verdana"/>
        <family val="2"/>
      </rPr>
      <t>Seuil CET1 de 10 %</t>
    </r>
  </si>
  <si>
    <r>
      <rPr>
        <b/>
        <sz val="11"/>
        <rFont val="Verdana"/>
        <family val="2"/>
      </rPr>
      <t>Seuil CET1 de 17,65 %</t>
    </r>
  </si>
  <si>
    <r>
      <rPr>
        <b/>
        <sz val="11"/>
        <rFont val="Verdana"/>
        <family val="2"/>
      </rPr>
      <t>Fonds propres éligibles dans le cadre de participations qualifiées hors du secteur financier</t>
    </r>
  </si>
  <si>
    <r>
      <rPr>
        <b/>
        <sz val="11"/>
        <rFont val="Verdana"/>
        <family val="2"/>
      </rPr>
      <t>Fonds propres éligibles dans le cadre de grands risques</t>
    </r>
  </si>
  <si>
    <r>
      <rPr>
        <b/>
        <sz val="11"/>
        <rFont val="Verdana"/>
        <family val="2"/>
      </rPr>
      <t>Investissements dans les fonds propres d’entités du secteur financier dans lesquelles l’établissement ne détient pas d’investissement important</t>
    </r>
  </si>
  <si>
    <r>
      <rPr>
        <b/>
        <sz val="11"/>
        <rFont val="Verdana"/>
        <family val="2"/>
      </rPr>
      <t>Détentions de fonds propres CET1 d'entités du secteur financier dans lesquelles l'établissement ne détient pas d'investissement important, nettes des positions courtes</t>
    </r>
  </si>
  <si>
    <r>
      <rPr>
        <sz val="10"/>
        <rFont val="Verdana"/>
        <family val="2"/>
      </rPr>
      <t>Détentions directes de fonds propres CET1 d’entités du secteur financier dans lesquelles l’établissement ne détient pas d’investissement important</t>
    </r>
  </si>
  <si>
    <r>
      <rPr>
        <sz val="10"/>
        <rFont val="Verdana"/>
        <family val="2"/>
      </rPr>
      <t>Détentions directes brutes de fonds propres CET1 d’entités du secteur financier dans lesquelles l’établissement ne détient pas d’investissement important</t>
    </r>
  </si>
  <si>
    <r>
      <rPr>
        <sz val="10"/>
        <rFont val="Verdana"/>
        <family val="2"/>
      </rPr>
      <t>(-) Positions courtes compensatoires autorisées par rapport aux détentions brutes directes figurant ci-dessus</t>
    </r>
  </si>
  <si>
    <r>
      <rPr>
        <sz val="10"/>
        <rFont val="Verdana"/>
        <family val="2"/>
      </rPr>
      <t>Détentions indirectes de fonds propres CET1 d’entités du secteur financier dans lesquelles l’établissement ne détient pas d’investissement important</t>
    </r>
  </si>
  <si>
    <r>
      <rPr>
        <sz val="10"/>
        <rFont val="Verdana"/>
        <family val="2"/>
      </rPr>
      <t>Détentions indirectes brutes de fonds propres CET1 d’entités du secteur financier dans lesquelles l’établissement ne détient pas d’investissement important</t>
    </r>
  </si>
  <si>
    <r>
      <rPr>
        <sz val="10"/>
        <rFont val="Verdana"/>
        <family val="2"/>
      </rPr>
      <t>(-) Positions courtes compensatoires autorisées par rapport aux détentions brutes indirectes figurant ci-dessus</t>
    </r>
  </si>
  <si>
    <r>
      <rPr>
        <sz val="9"/>
        <color rgb="FF000000"/>
        <rFont val="Verdana"/>
        <family val="2"/>
      </rPr>
      <t>291</t>
    </r>
  </si>
  <si>
    <r>
      <rPr>
        <sz val="10"/>
        <rFont val="Verdana"/>
        <family val="2"/>
      </rPr>
      <t>Détentions synthétiques de fonds propres CET1 d’entités du secteur financier dans lesquelles l’établissement ne détient pas d’investissement important</t>
    </r>
  </si>
  <si>
    <r>
      <rPr>
        <sz val="9"/>
        <color rgb="FF000000"/>
        <rFont val="Verdana"/>
        <family val="2"/>
      </rPr>
      <t>292</t>
    </r>
  </si>
  <si>
    <r>
      <rPr>
        <sz val="10"/>
        <rFont val="Verdana"/>
        <family val="2"/>
      </rPr>
      <t>Détentions synthétiques brutes de fonds propres CET1 d’entités du secteur financier dans lesquelles l’établissement ne détient pas d’investissement important</t>
    </r>
  </si>
  <si>
    <r>
      <rPr>
        <sz val="9"/>
        <color rgb="FF000000"/>
        <rFont val="Verdana"/>
        <family val="2"/>
      </rPr>
      <t>293</t>
    </r>
  </si>
  <si>
    <r>
      <rPr>
        <sz val="10"/>
        <rFont val="Verdana"/>
        <family val="2"/>
      </rPr>
      <t>(-) Positions courtes compensatoires autorisées par rapport aux détentions brutes synthétiques figurant ci-dessus</t>
    </r>
  </si>
  <si>
    <r>
      <rPr>
        <b/>
        <sz val="11"/>
        <rFont val="Verdana"/>
        <family val="2"/>
      </rPr>
      <t xml:space="preserve">Détentions de fonds propres AT1 d'entités du secteur financier dans lesquelles l'établissement ne détient pas d'investissement important, nettes des positions courtes </t>
    </r>
  </si>
  <si>
    <r>
      <rPr>
        <sz val="10"/>
        <rFont val="Verdana"/>
        <family val="2"/>
      </rPr>
      <t>Détentions directes de fonds propres AT1 d’entités du secteur financier dans lesquelles l’établissement ne détient pas d’investissement important</t>
    </r>
  </si>
  <si>
    <r>
      <rPr>
        <sz val="10"/>
        <rFont val="Verdana"/>
        <family val="2"/>
      </rPr>
      <t>Détentions directes brutes de fonds propres AT1 d’entités du secteur financier dans lesquelles l’établissement ne détient pas d’investissement important</t>
    </r>
  </si>
  <si>
    <r>
      <rPr>
        <sz val="10"/>
        <rFont val="Verdana"/>
        <family val="2"/>
      </rPr>
      <t>(-) Positions courtes compensatoires autorisées par rapport aux détentions brutes directes figurant ci-dessus</t>
    </r>
  </si>
  <si>
    <r>
      <rPr>
        <sz val="10"/>
        <rFont val="Verdana"/>
        <family val="2"/>
      </rPr>
      <t>Détentions indirectes de fonds propres AT1 d’entités du secteur financier dans lesquelles l’établissement ne détient pas d’investissement important</t>
    </r>
  </si>
  <si>
    <r>
      <rPr>
        <sz val="10"/>
        <rFont val="Verdana"/>
        <family val="2"/>
      </rPr>
      <t>Détentions indirectes brutes de fonds propres AT1 d’entités du secteur financier dans lesquelles l’établissement ne détient pas d’investissement important</t>
    </r>
  </si>
  <si>
    <r>
      <rPr>
        <sz val="10"/>
        <rFont val="Verdana"/>
        <family val="2"/>
      </rPr>
      <t>(-) Positions courtes compensatoires autorisées par rapport aux détentions brutes indirectes figurant ci-dessus</t>
    </r>
  </si>
  <si>
    <r>
      <rPr>
        <sz val="9"/>
        <color rgb="FF000000"/>
        <rFont val="Verdana"/>
        <family val="2"/>
      </rPr>
      <t>361</t>
    </r>
  </si>
  <si>
    <r>
      <rPr>
        <sz val="10"/>
        <rFont val="Verdana"/>
        <family val="2"/>
      </rPr>
      <t>Détentions synthétiques de fonds propres AT1 d’entités du secteur financier dans lesquelles l’établissement ne détient pas d’investissement important</t>
    </r>
  </si>
  <si>
    <r>
      <rPr>
        <sz val="9"/>
        <color rgb="FF000000"/>
        <rFont val="Verdana"/>
        <family val="2"/>
      </rPr>
      <t>362</t>
    </r>
  </si>
  <si>
    <r>
      <rPr>
        <sz val="10"/>
        <rFont val="Verdana"/>
        <family val="2"/>
      </rPr>
      <t>Détentions synthétiques brutes de fonds propres AT1 d’entités du secteur financier dans lesquelles l’établissement ne détient pas d’investissement important</t>
    </r>
  </si>
  <si>
    <r>
      <rPr>
        <sz val="9"/>
        <color rgb="FF000000"/>
        <rFont val="Verdana"/>
        <family val="2"/>
      </rPr>
      <t>363</t>
    </r>
  </si>
  <si>
    <r>
      <rPr>
        <sz val="10"/>
        <rFont val="Verdana"/>
        <family val="2"/>
      </rPr>
      <t>(-) Positions courtes compensatoires autorisées par rapport aux détentions brutes synthétiques figurant ci-dessus</t>
    </r>
  </si>
  <si>
    <r>
      <rPr>
        <b/>
        <sz val="11"/>
        <rFont val="Verdana"/>
        <family val="2"/>
      </rPr>
      <t>Détentions de fonds propres T2 d'entités du secteur financier dans lesquelles l'établissement ne détient pas d'investissement important, nettes des positions courtes</t>
    </r>
  </si>
  <si>
    <r>
      <rPr>
        <sz val="10"/>
        <rFont val="Verdana"/>
        <family val="2"/>
      </rPr>
      <t>Détentions directes de fonds propres T2 d’entités du secteur financier dans lesquelles l’établissement ne détient pas d’investissement important</t>
    </r>
  </si>
  <si>
    <r>
      <rPr>
        <sz val="10"/>
        <rFont val="Verdana"/>
        <family val="2"/>
      </rPr>
      <t>Détentions directes brutes de fonds propres T2 d’entités du secteur financier dans lesquelles l’établissement ne détient pas d’investissement important</t>
    </r>
  </si>
  <si>
    <r>
      <rPr>
        <sz val="10"/>
        <rFont val="Verdana"/>
        <family val="2"/>
      </rPr>
      <t>(-) Positions courtes compensatoires autorisées par rapport aux détentions brutes directes figurant ci-dessus</t>
    </r>
  </si>
  <si>
    <r>
      <rPr>
        <sz val="10"/>
        <rFont val="Verdana"/>
        <family val="2"/>
      </rPr>
      <t>Détentions indirectes de fonds propres T2 d’entités du secteur financier dans lesquelles l’établissement ne détient pas d’investissement important</t>
    </r>
  </si>
  <si>
    <r>
      <rPr>
        <sz val="10"/>
        <rFont val="Verdana"/>
        <family val="2"/>
      </rPr>
      <t>Détentions indirectes brutes de fonds propres T2 d’entités du secteur financier dans lesquelles l’établissement ne détient pas d’investissement important</t>
    </r>
  </si>
  <si>
    <r>
      <rPr>
        <sz val="10"/>
        <rFont val="Verdana"/>
        <family val="2"/>
      </rPr>
      <t>(-) Positions courtes compensatoires autorisées par rapport aux détentions brutes indirectes figurant ci-dessus</t>
    </r>
  </si>
  <si>
    <r>
      <rPr>
        <sz val="9"/>
        <color rgb="FF000000"/>
        <rFont val="Verdana"/>
        <family val="2"/>
      </rPr>
      <t>431</t>
    </r>
  </si>
  <si>
    <r>
      <rPr>
        <sz val="10"/>
        <rFont val="Verdana"/>
        <family val="2"/>
      </rPr>
      <t>Détentions synthétiques de fonds propres T2 d’entités du secteur financier dans lesquelles l’établissement ne détient pas d’investissement important</t>
    </r>
  </si>
  <si>
    <r>
      <rPr>
        <sz val="9"/>
        <color rgb="FF000000"/>
        <rFont val="Verdana"/>
        <family val="2"/>
      </rPr>
      <t>432</t>
    </r>
  </si>
  <si>
    <r>
      <rPr>
        <sz val="10"/>
        <rFont val="Verdana"/>
        <family val="2"/>
      </rPr>
      <t>Détentions synthétiques brutes de fonds propres T2 d’entités du secteur financier dans lesquelles l’établissement ne détient pas d’investissement important</t>
    </r>
  </si>
  <si>
    <r>
      <rPr>
        <sz val="9"/>
        <color rgb="FF000000"/>
        <rFont val="Verdana"/>
        <family val="2"/>
      </rPr>
      <t>433</t>
    </r>
  </si>
  <si>
    <r>
      <rPr>
        <sz val="10"/>
        <rFont val="Verdana"/>
        <family val="2"/>
      </rPr>
      <t>(-) Positions courtes compensatoires autorisées par rapport aux détentions brutes synthétiques figurant ci-dessus</t>
    </r>
  </si>
  <si>
    <r>
      <rPr>
        <b/>
        <sz val="11"/>
        <rFont val="Verdana"/>
        <family val="2"/>
      </rPr>
      <t xml:space="preserve">Investissements dans les fonds propres d’entités du secteur financier dans lesquelles l’établissement détient un investissement important </t>
    </r>
  </si>
  <si>
    <r>
      <rPr>
        <b/>
        <sz val="11"/>
        <rFont val="Verdana"/>
        <family val="2"/>
      </rPr>
      <t>Détentions de fonds propres CET1 d’entités du secteur financier dans lesquelles l’établissement détient un investissement important, nettes des positions courtes</t>
    </r>
  </si>
  <si>
    <r>
      <rPr>
        <sz val="10"/>
        <rFont val="Verdana"/>
        <family val="2"/>
      </rPr>
      <t>Détentions directes de fonds propres CET1 d’entités du secteur financier dans lesquelles l’établissement détient un investissement important</t>
    </r>
  </si>
  <si>
    <r>
      <rPr>
        <sz val="10"/>
        <rFont val="Verdana"/>
        <family val="2"/>
      </rPr>
      <t>Détentions directes brutes de fonds propres CET1 d’entités du secteur financier dans lesquelles l’établissement détient un investissement important</t>
    </r>
  </si>
  <si>
    <r>
      <rPr>
        <sz val="10"/>
        <rFont val="Verdana"/>
        <family val="2"/>
      </rPr>
      <t>(-) Positions courtes compensatoires autorisées par rapport aux détentions brutes directes figurant ci-dessus</t>
    </r>
  </si>
  <si>
    <r>
      <rPr>
        <sz val="10"/>
        <rFont val="Verdana"/>
        <family val="2"/>
      </rPr>
      <t>Détentions indirectes de fonds propres CET1 d’entités du secteur financier dans lesquelles l’établissement détient un investissement important</t>
    </r>
  </si>
  <si>
    <r>
      <rPr>
        <sz val="10"/>
        <rFont val="Verdana"/>
        <family val="2"/>
      </rPr>
      <t>Détentions indirectes brutes de fonds propres CET1 d’entités du secteur financier dans lesquelles l’établissement détient un investissement important</t>
    </r>
  </si>
  <si>
    <r>
      <rPr>
        <sz val="10"/>
        <rFont val="Verdana"/>
        <family val="2"/>
      </rPr>
      <t>(-) Positions courtes compensatoires autorisées par rapport aux détentions brutes indirectes figurant ci-dessus</t>
    </r>
  </si>
  <si>
    <r>
      <rPr>
        <sz val="9"/>
        <rFont val="Verdana"/>
        <family val="2"/>
      </rPr>
      <t>501</t>
    </r>
  </si>
  <si>
    <r>
      <rPr>
        <sz val="10"/>
        <rFont val="Verdana"/>
        <family val="2"/>
      </rPr>
      <t>Détentions synthétiques de fonds propres CET1 d'entités du secteur financier dans lesquelles l'établissement détient un investissement important</t>
    </r>
  </si>
  <si>
    <r>
      <rPr>
        <sz val="9"/>
        <rFont val="Verdana"/>
        <family val="2"/>
      </rPr>
      <t>502</t>
    </r>
  </si>
  <si>
    <r>
      <rPr>
        <sz val="10"/>
        <rFont val="Verdana"/>
        <family val="2"/>
      </rPr>
      <t>Détentions synthétiques brutes de fonds propres CET1 d’entités du secteur financier dans lesquelles l’établissement détient un investissement important</t>
    </r>
  </si>
  <si>
    <r>
      <rPr>
        <sz val="9"/>
        <rFont val="Verdana"/>
        <family val="2"/>
      </rPr>
      <t>503</t>
    </r>
  </si>
  <si>
    <r>
      <rPr>
        <sz val="10"/>
        <rFont val="Verdana"/>
        <family val="2"/>
      </rPr>
      <t>(-) Positions courtes compensatoires autorisées par rapport aux détentions brutes synthétiques figurant ci-dessus</t>
    </r>
  </si>
  <si>
    <r>
      <rPr>
        <b/>
        <sz val="11"/>
        <rFont val="Verdana"/>
        <family val="2"/>
      </rPr>
      <t xml:space="preserve">Détentions de fonds propres AT1 d’entités du secteur financier dans lesquelles l’établissement détient un investissement important, nettes des positions courtes </t>
    </r>
  </si>
  <si>
    <r>
      <rPr>
        <sz val="10"/>
        <rFont val="Verdana"/>
        <family val="2"/>
      </rPr>
      <t>Détentions directes de fonds propres AT1 d’entités du secteur financier dans lesquelles l’établissement détient un investissement important</t>
    </r>
  </si>
  <si>
    <r>
      <rPr>
        <sz val="10"/>
        <rFont val="Verdana"/>
        <family val="2"/>
      </rPr>
      <t>Détentions directes brutes de fonds propres AT1 d’entités du secteur financier dans lesquelles l’établissement détient un investissement important</t>
    </r>
  </si>
  <si>
    <r>
      <rPr>
        <sz val="10"/>
        <rFont val="Verdana"/>
        <family val="2"/>
      </rPr>
      <t>(-) Positions courtes compensatoires autorisées par rapport aux détentions brutes directes figurant ci-dessus</t>
    </r>
  </si>
  <si>
    <r>
      <rPr>
        <sz val="10"/>
        <rFont val="Verdana"/>
        <family val="2"/>
      </rPr>
      <t>Détentions indirectes de fonds propres AT1 d’entités du secteur financier dans lesquelles l’établissement détient un investissement important</t>
    </r>
  </si>
  <si>
    <r>
      <rPr>
        <sz val="10"/>
        <rFont val="Verdana"/>
        <family val="2"/>
      </rPr>
      <t>Détentions indirectes brutes de fonds propres AT1 d’entités du secteur financier dans lesquelles l’établissement détient un investissement important</t>
    </r>
  </si>
  <si>
    <r>
      <rPr>
        <sz val="10"/>
        <rFont val="Verdana"/>
        <family val="2"/>
      </rPr>
      <t>(-) Positions courtes compensatoires autorisées par rapport aux détentions brutes indirectes figurant ci-dessus</t>
    </r>
  </si>
  <si>
    <r>
      <rPr>
        <sz val="9"/>
        <rFont val="Verdana"/>
        <family val="2"/>
      </rPr>
      <t>571</t>
    </r>
  </si>
  <si>
    <r>
      <rPr>
        <sz val="10"/>
        <rFont val="Verdana"/>
        <family val="2"/>
      </rPr>
      <t>Détentions synthétiques de fonds propres AT1 d'entités du secteur financier dans lesquelles l'établissement détient un investissement important</t>
    </r>
  </si>
  <si>
    <r>
      <rPr>
        <sz val="9"/>
        <rFont val="Verdana"/>
        <family val="2"/>
      </rPr>
      <t>572</t>
    </r>
  </si>
  <si>
    <r>
      <rPr>
        <sz val="10"/>
        <rFont val="Verdana"/>
        <family val="2"/>
      </rPr>
      <t>Détentions synthétiques brutes de fonds propres AT1 d’entités du secteur financier dans lesquelles l’établissement détient un investissement important</t>
    </r>
  </si>
  <si>
    <r>
      <rPr>
        <sz val="9"/>
        <rFont val="Verdana"/>
        <family val="2"/>
      </rPr>
      <t>573</t>
    </r>
  </si>
  <si>
    <r>
      <rPr>
        <sz val="10"/>
        <rFont val="Verdana"/>
        <family val="2"/>
      </rPr>
      <t>(-) Positions courtes compensatoires autorisées par rapport aux détentions brutes synthétiques figurant ci-dessus</t>
    </r>
  </si>
  <si>
    <r>
      <rPr>
        <b/>
        <sz val="11"/>
        <rFont val="Verdana"/>
        <family val="2"/>
      </rPr>
      <t>Détentions de fonds propres T2 d’entités du secteur financier dans lesquelles l’établissement détient un investissement important, nettes des positions courtes</t>
    </r>
  </si>
  <si>
    <r>
      <rPr>
        <sz val="10"/>
        <rFont val="Verdana"/>
        <family val="2"/>
      </rPr>
      <t>Détentions directes de fonds propres T2 d’entités du secteur financier dans lesquelles l’établissement détient un investissement important</t>
    </r>
  </si>
  <si>
    <r>
      <rPr>
        <sz val="10"/>
        <rFont val="Verdana"/>
        <family val="2"/>
      </rPr>
      <t>Détentions directes brutes de fonds propres T2 d’entités du secteur financier dans lesquelles l’établissement détient un investissement important</t>
    </r>
  </si>
  <si>
    <r>
      <rPr>
        <sz val="10"/>
        <rFont val="Verdana"/>
        <family val="2"/>
      </rPr>
      <t>(-) Positions courtes compensatoires autorisées par rapport aux détentions brutes directes figurant ci-dessus</t>
    </r>
  </si>
  <si>
    <r>
      <rPr>
        <sz val="10"/>
        <rFont val="Verdana"/>
        <family val="2"/>
      </rPr>
      <t>Détentions indirectes de fonds propres T2 d’entités du secteur financier dans lesquelles l’établissement détient un investissement important</t>
    </r>
  </si>
  <si>
    <r>
      <rPr>
        <sz val="10"/>
        <rFont val="Verdana"/>
        <family val="2"/>
      </rPr>
      <t>Détentions indirectes brutes de fonds propres T2 d’entités du secteur financier dans lesquelles l’établissement détient un investissement important</t>
    </r>
  </si>
  <si>
    <r>
      <rPr>
        <sz val="10"/>
        <rFont val="Verdana"/>
        <family val="2"/>
      </rPr>
      <t>(-) Positions courtes compensatoires autorisées par rapport aux détentions brutes indirectes figurant ci-dessus</t>
    </r>
  </si>
  <si>
    <r>
      <rPr>
        <sz val="9"/>
        <color rgb="FF000000"/>
        <rFont val="Verdana"/>
        <family val="2"/>
      </rPr>
      <t>641</t>
    </r>
  </si>
  <si>
    <r>
      <rPr>
        <sz val="10"/>
        <rFont val="Verdana"/>
        <family val="2"/>
      </rPr>
      <t>Détentions synthétiques de fonds propres T2 d'entités du secteur financier dans lesquelles l'établissement détient un investissement important</t>
    </r>
  </si>
  <si>
    <r>
      <rPr>
        <sz val="9"/>
        <color rgb="FF000000"/>
        <rFont val="Verdana"/>
        <family val="2"/>
      </rPr>
      <t>642</t>
    </r>
  </si>
  <si>
    <r>
      <rPr>
        <sz val="10"/>
        <rFont val="Verdana"/>
        <family val="2"/>
      </rPr>
      <t>Détentions synthétiques brutes de fonds propres T2 d’entités du secteur financier dans lesquelles l’établissement détient un investissement important</t>
    </r>
  </si>
  <si>
    <r>
      <rPr>
        <sz val="9"/>
        <color rgb="FF000000"/>
        <rFont val="Verdana"/>
        <family val="2"/>
      </rPr>
      <t>643</t>
    </r>
  </si>
  <si>
    <r>
      <rPr>
        <sz val="10"/>
        <rFont val="Verdana"/>
        <family val="2"/>
      </rPr>
      <t>(-) Positions courtes compensatoires autorisées par rapport aux détentions brutes synthétiques figurant ci-dessus</t>
    </r>
  </si>
  <si>
    <r>
      <rPr>
        <b/>
        <sz val="11"/>
        <rFont val="Verdana"/>
        <family val="2"/>
      </rPr>
      <t>Montant total d’exposition au risque des détentions</t>
    </r>
    <r>
      <rPr>
        <b/>
        <sz val="11"/>
        <color theme="1"/>
        <rFont val="Verdana"/>
        <family val="2"/>
      </rPr>
      <t xml:space="preserve"> non déduites de la catégorie de fonds propres correspondante:</t>
    </r>
  </si>
  <si>
    <r>
      <rPr>
        <b/>
        <sz val="11"/>
        <rFont val="Verdana"/>
        <family val="2"/>
      </rPr>
      <t>Expositions pondérées des détentions de fonds propres CET1 dans des entités du secteur financier qui ne sont pas déduites des fonds propres CET1 de l’établissement</t>
    </r>
  </si>
  <si>
    <r>
      <rPr>
        <b/>
        <sz val="11"/>
        <rFont val="Verdana"/>
        <family val="2"/>
      </rPr>
      <t>Expositions pondérées des détentions de fonds propres AT1 dans des entités du secteur financier qui ne sont pas déduites des fonds propres AT1 de l’établissement</t>
    </r>
  </si>
  <si>
    <r>
      <rPr>
        <b/>
        <sz val="11"/>
        <rFont val="Verdana"/>
        <family val="2"/>
      </rPr>
      <t>Expositions pondérées des détentions de fonds propres T2 dans des entités du secteur financier qui ne sont pas déduites des fonds propres T2 de l’établissement</t>
    </r>
  </si>
  <si>
    <r>
      <rPr>
        <b/>
        <sz val="11"/>
        <rFont val="Verdana"/>
        <family val="2"/>
      </rPr>
      <t>Non-application provisoire des déductions des fonds propres</t>
    </r>
  </si>
  <si>
    <r>
      <rPr>
        <b/>
        <sz val="11"/>
        <rFont val="Verdana"/>
        <family val="2"/>
      </rPr>
      <t>Détentions d'instruments de capital CET1 d'entités du secteur financier dans lesquelles l'établissement ne détient pas d'investissement important faisant l’objet d’une non-application provisoire</t>
    </r>
  </si>
  <si>
    <r>
      <rPr>
        <b/>
        <sz val="11"/>
        <rFont val="Verdana"/>
        <family val="2"/>
      </rPr>
      <t>Détentions d'instruments de capital CET1 d'entités du secteur financier dans lesquelles l'établissement détient un investissement important faisant l'objet d'une non-application provisoire</t>
    </r>
  </si>
  <si>
    <r>
      <rPr>
        <b/>
        <sz val="11"/>
        <rFont val="Verdana"/>
        <family val="2"/>
      </rPr>
      <t>Détentions d'instruments de capital AT1 d'entités du secteur financier dans lesquelles l'établissement ne détient pas d'investissement important faisant l’objet d’une non-application provisoire</t>
    </r>
  </si>
  <si>
    <r>
      <rPr>
        <b/>
        <sz val="11"/>
        <rFont val="Verdana"/>
        <family val="2"/>
      </rPr>
      <t>Détentions d'instruments de capital AT1 d'entités du secteur financier dans lesquelles l'établissement détient un investissement important provisoirement non applicables</t>
    </r>
  </si>
  <si>
    <r>
      <rPr>
        <b/>
        <sz val="11"/>
        <rFont val="Verdana"/>
        <family val="2"/>
      </rPr>
      <t>Détentions d'instruments de capital T2 d'entités du secteur financier dans lesquelles l'établissement ne détient pas d'investissement important faisant l’objet d'une non-application provisoire</t>
    </r>
  </si>
  <si>
    <r>
      <rPr>
        <b/>
        <sz val="11"/>
        <rFont val="Verdana"/>
        <family val="2"/>
      </rPr>
      <t>Détentions d'instruments de capital T2 d'entités du secteur financier dans lesquelles l'établissement détient un investissement important faisant l’objet d'une non-application provisoire</t>
    </r>
  </si>
  <si>
    <r>
      <rPr>
        <b/>
        <sz val="11"/>
        <rFont val="Verdana"/>
        <family val="2"/>
      </rPr>
      <t>Coussins de fonds propres</t>
    </r>
  </si>
  <si>
    <r>
      <rPr>
        <b/>
        <sz val="11"/>
        <rFont val="Verdana"/>
        <family val="2"/>
      </rPr>
      <t>Exigence globale de coussin de fonds propres</t>
    </r>
  </si>
  <si>
    <r>
      <rPr>
        <b/>
        <sz val="11"/>
        <rFont val="Verdana"/>
        <family val="2"/>
      </rPr>
      <t>Coussin de conservation de fonds propres</t>
    </r>
  </si>
  <si>
    <r>
      <rPr>
        <b/>
        <sz val="11"/>
        <rFont val="Verdana"/>
        <family val="2"/>
      </rPr>
      <t>Coussin de conservation découlant du risque macroprudentiel ou systémique constaté au niveau d'un État membre</t>
    </r>
  </si>
  <si>
    <r>
      <rPr>
        <b/>
        <sz val="11"/>
        <rFont val="Verdana"/>
        <family val="2"/>
      </rPr>
      <t>Coussin de fonds propres contracyclique spécifique à l'établissement</t>
    </r>
  </si>
  <si>
    <r>
      <rPr>
        <b/>
        <sz val="11"/>
        <rFont val="Verdana"/>
        <family val="2"/>
      </rPr>
      <t>Coussin pour le risque systémique</t>
    </r>
  </si>
  <si>
    <r>
      <rPr>
        <b/>
        <sz val="11"/>
        <rFont val="Verdana"/>
        <family val="2"/>
      </rPr>
      <t>Coussin pour les établissements d’importance systémique</t>
    </r>
  </si>
  <si>
    <r>
      <rPr>
        <b/>
        <sz val="11"/>
        <rFont val="Verdana"/>
        <family val="2"/>
      </rPr>
      <t>Coussin pour les établissements d'importance systémique mondiale</t>
    </r>
  </si>
  <si>
    <r>
      <rPr>
        <b/>
        <sz val="11"/>
        <rFont val="Verdana"/>
        <family val="2"/>
      </rPr>
      <t>Coussin pour les autres établissements d’importance systémique</t>
    </r>
  </si>
  <si>
    <r>
      <rPr>
        <b/>
        <sz val="11"/>
        <rFont val="Verdana"/>
        <family val="2"/>
      </rPr>
      <t>Exigences du pilier II</t>
    </r>
  </si>
  <si>
    <r>
      <rPr>
        <b/>
        <sz val="11"/>
        <rFont val="Verdana"/>
        <family val="2"/>
      </rPr>
      <t>Exigences de fonds propres liées aux ajustements du pilier II</t>
    </r>
  </si>
  <si>
    <r>
      <rPr>
        <b/>
        <sz val="11"/>
        <rFont val="Verdana"/>
        <family val="2"/>
      </rPr>
      <t>Informations complémentaires pour entreprises d’investissement</t>
    </r>
  </si>
  <si>
    <r>
      <rPr>
        <b/>
        <sz val="11"/>
        <rFont val="Verdana"/>
        <family val="2"/>
      </rPr>
      <t>Capital initial</t>
    </r>
  </si>
  <si>
    <r>
      <rPr>
        <b/>
        <sz val="11"/>
        <rFont val="Verdana"/>
        <family val="2"/>
      </rPr>
      <t>Exigences de fonds propres basées sur les frais généraux</t>
    </r>
  </si>
  <si>
    <r>
      <rPr>
        <b/>
        <sz val="11"/>
        <rFont val="Verdana"/>
        <family val="2"/>
      </rPr>
      <t>Informations complémentaires pour le calcul des seuils de déclaration</t>
    </r>
  </si>
  <si>
    <r>
      <rPr>
        <b/>
        <sz val="11"/>
        <rFont val="Verdana"/>
        <family val="2"/>
      </rPr>
      <t>Expositions initiales non domestiques</t>
    </r>
  </si>
  <si>
    <r>
      <rPr>
        <b/>
        <sz val="11"/>
        <rFont val="Verdana"/>
        <family val="2"/>
      </rPr>
      <t>Expositions initiales totales</t>
    </r>
  </si>
  <si>
    <r>
      <rPr>
        <b/>
        <sz val="11"/>
        <rFont val="Verdana"/>
        <family val="2"/>
      </rPr>
      <t>Plancher Bâle I</t>
    </r>
  </si>
  <si>
    <r>
      <rPr>
        <b/>
        <sz val="11"/>
        <rFont val="Verdana"/>
        <family val="2"/>
      </rPr>
      <t>Ajustements des fonds propres totaux</t>
    </r>
  </si>
  <si>
    <r>
      <rPr>
        <b/>
        <sz val="11"/>
        <rFont val="Verdana"/>
        <family val="2"/>
      </rPr>
      <t>Fonds propres intégralement ajustés pour plancher Bâle I</t>
    </r>
  </si>
  <si>
    <r>
      <rPr>
        <b/>
        <sz val="11"/>
        <rFont val="Verdana"/>
        <family val="2"/>
      </rPr>
      <t>Exigences de fonds propres pour plancher Bâle I</t>
    </r>
  </si>
  <si>
    <r>
      <rPr>
        <b/>
        <sz val="11"/>
        <rFont val="Verdana"/>
        <family val="2"/>
      </rPr>
      <t>Exigences de fonds propres pour plancher Bâle I – approche standard (SA) de remplacement</t>
    </r>
  </si>
  <si>
    <r>
      <rPr>
        <b/>
        <sz val="11"/>
        <rFont val="Verdana"/>
        <family val="2"/>
      </rPr>
      <t xml:space="preserve">Déficit de fonds propres totaux en ce qui concerne les exigences minimales de fonds propres pour plancher Bâle I </t>
    </r>
  </si>
  <si>
    <r>
      <rPr>
        <sz val="11"/>
        <rFont val="Verdana"/>
        <family val="2"/>
      </rPr>
      <t xml:space="preserve"> </t>
    </r>
  </si>
  <si>
    <r>
      <rPr>
        <b/>
        <sz val="16"/>
        <rFont val="Verdana"/>
        <family val="2"/>
      </rPr>
      <t>C 05.01 - DISPOSITIONS TRANSITOIRES (CA5.1)</t>
    </r>
  </si>
  <si>
    <r>
      <rPr>
        <b/>
        <sz val="11"/>
        <rFont val="Verdana"/>
        <family val="2"/>
      </rPr>
      <t>Ajustements des fonds propres CET1</t>
    </r>
  </si>
  <si>
    <r>
      <rPr>
        <b/>
        <sz val="11"/>
        <rFont val="Verdana"/>
        <family val="2"/>
      </rPr>
      <t>Ajustements des fonds propres AT1</t>
    </r>
  </si>
  <si>
    <r>
      <rPr>
        <b/>
        <sz val="11"/>
        <rFont val="Verdana"/>
        <family val="2"/>
      </rPr>
      <t>Ajustements des fonds propres T2</t>
    </r>
  </si>
  <si>
    <r>
      <rPr>
        <b/>
        <sz val="11"/>
        <rFont val="Verdana"/>
        <family val="2"/>
      </rPr>
      <t>Ajustements inclus dans les actifs pondérés en fonction du risque</t>
    </r>
  </si>
  <si>
    <r>
      <rPr>
        <b/>
        <sz val="11"/>
        <rFont val="Verdana"/>
        <family val="2"/>
      </rPr>
      <t>Postes pour mémoire</t>
    </r>
  </si>
  <si>
    <r>
      <rPr>
        <b/>
        <sz val="11"/>
        <rFont val="Verdana"/>
        <family val="2"/>
      </rPr>
      <t>Pourcentage applicable</t>
    </r>
  </si>
  <si>
    <r>
      <rPr>
        <b/>
        <sz val="11"/>
        <rFont val="Verdana"/>
        <family val="2"/>
      </rPr>
      <t>Montant éligible sans dispositions transitoires</t>
    </r>
  </si>
  <si>
    <r>
      <rPr>
        <b/>
        <sz val="11"/>
        <rFont val="Verdana"/>
        <family val="2"/>
      </rPr>
      <t>Code</t>
    </r>
  </si>
  <si>
    <r>
      <rPr>
        <b/>
        <sz val="11"/>
        <rFont val="Verdana"/>
        <family val="2"/>
      </rPr>
      <t>ID</t>
    </r>
  </si>
  <si>
    <r>
      <rPr>
        <b/>
        <sz val="11"/>
        <rFont val="Verdana"/>
        <family val="2"/>
      </rPr>
      <t>Poste</t>
    </r>
  </si>
  <si>
    <r>
      <rPr>
        <sz val="11"/>
        <rFont val="Verdana"/>
        <family val="2"/>
      </rPr>
      <t>010</t>
    </r>
  </si>
  <si>
    <r>
      <rPr>
        <sz val="11"/>
        <rFont val="Verdana"/>
        <family val="2"/>
      </rPr>
      <t>020</t>
    </r>
  </si>
  <si>
    <r>
      <rPr>
        <sz val="11"/>
        <rFont val="Verdana"/>
        <family val="2"/>
      </rPr>
      <t>030</t>
    </r>
  </si>
  <si>
    <r>
      <rPr>
        <sz val="11"/>
        <rFont val="Verdana"/>
        <family val="2"/>
      </rPr>
      <t>040</t>
    </r>
  </si>
  <si>
    <r>
      <rPr>
        <sz val="11"/>
        <rFont val="Verdana"/>
        <family val="2"/>
      </rPr>
      <t>050</t>
    </r>
  </si>
  <si>
    <r>
      <rPr>
        <sz val="11"/>
        <rFont val="Verdana"/>
        <family val="2"/>
      </rPr>
      <t>060</t>
    </r>
  </si>
  <si>
    <r>
      <rPr>
        <sz val="9"/>
        <rFont val="Verdana"/>
        <family val="2"/>
      </rPr>
      <t>010</t>
    </r>
  </si>
  <si>
    <r>
      <rPr>
        <sz val="9"/>
        <rFont val="Verdana"/>
        <family val="2"/>
      </rPr>
      <t>1</t>
    </r>
  </si>
  <si>
    <r>
      <rPr>
        <b/>
        <u/>
        <sz val="11"/>
        <rFont val="Verdana"/>
        <family val="2"/>
      </rPr>
      <t>TOTAL AJUSTEMENTS</t>
    </r>
  </si>
  <si>
    <r>
      <rPr>
        <sz val="9"/>
        <rFont val="Verdana"/>
        <family val="2"/>
      </rPr>
      <t>020</t>
    </r>
  </si>
  <si>
    <r>
      <rPr>
        <sz val="9"/>
        <rFont val="Verdana"/>
        <family val="2"/>
      </rPr>
      <t>1.1</t>
    </r>
  </si>
  <si>
    <r>
      <rPr>
        <b/>
        <sz val="11"/>
        <rFont val="Verdana"/>
        <family val="2"/>
      </rPr>
      <t>INSTRUMENTS BÉNÉFICIANT D'UNE CLAUSE D'ANTÉRIORITÉ</t>
    </r>
  </si>
  <si>
    <r>
      <rPr>
        <sz val="8"/>
        <rFont val="Verdana"/>
        <family val="2"/>
      </rPr>
      <t>lien vers {CA1;r220}</t>
    </r>
  </si>
  <si>
    <r>
      <rPr>
        <sz val="8"/>
        <rFont val="Verdana"/>
        <family val="2"/>
      </rPr>
      <t>lien vers {CA1;r660}</t>
    </r>
  </si>
  <si>
    <r>
      <rPr>
        <sz val="8"/>
        <rFont val="Verdana"/>
        <family val="2"/>
      </rPr>
      <t>lien vers {CA1;r880}</t>
    </r>
  </si>
  <si>
    <r>
      <rPr>
        <sz val="9"/>
        <rFont val="Verdana"/>
        <family val="2"/>
      </rPr>
      <t>030</t>
    </r>
  </si>
  <si>
    <r>
      <rPr>
        <sz val="9"/>
        <rFont val="Verdana"/>
        <family val="2"/>
      </rPr>
      <t>1.1.1</t>
    </r>
  </si>
  <si>
    <r>
      <rPr>
        <b/>
        <sz val="11"/>
        <rFont val="Verdana"/>
        <family val="2"/>
      </rPr>
      <t>Instruments bénéficiant d'une clause d'antériorité: Instruments constituant une aide d'État</t>
    </r>
  </si>
  <si>
    <r>
      <rPr>
        <sz val="9"/>
        <rFont val="Verdana"/>
        <family val="2"/>
      </rPr>
      <t>040</t>
    </r>
  </si>
  <si>
    <r>
      <rPr>
        <sz val="9"/>
        <rFont val="Verdana"/>
        <family val="2"/>
      </rPr>
      <t>1.1.1.1</t>
    </r>
  </si>
  <si>
    <r>
      <rPr>
        <sz val="11"/>
        <rFont val="Verdana"/>
        <family val="2"/>
      </rPr>
      <t>Instruments éligibles au titre de fonds propres conformément à la directive 2006/48/CE</t>
    </r>
  </si>
  <si>
    <r>
      <rPr>
        <sz val="9"/>
        <rFont val="Verdana"/>
        <family val="2"/>
      </rPr>
      <t>050</t>
    </r>
  </si>
  <si>
    <r>
      <rPr>
        <sz val="9"/>
        <rFont val="Verdana"/>
        <family val="2"/>
      </rPr>
      <t>1.1.1.2</t>
    </r>
  </si>
  <si>
    <r>
      <rPr>
        <sz val="11"/>
        <rFont val="Verdana"/>
        <family val="2"/>
      </rPr>
      <t>Instruments émis par des établissements constitués dans un État membre qui fait l’objet d’un programme d’ajustement économique</t>
    </r>
  </si>
  <si>
    <r>
      <rPr>
        <sz val="9"/>
        <rFont val="Verdana"/>
        <family val="2"/>
      </rPr>
      <t>060</t>
    </r>
  </si>
  <si>
    <r>
      <rPr>
        <sz val="9"/>
        <rFont val="Verdana"/>
        <family val="2"/>
      </rPr>
      <t>1.1.2</t>
    </r>
  </si>
  <si>
    <r>
      <rPr>
        <b/>
        <sz val="11"/>
        <rFont val="Verdana"/>
        <family val="2"/>
      </rPr>
      <t>Instruments ne constituant pas une aide d’État</t>
    </r>
  </si>
  <si>
    <r>
      <rPr>
        <sz val="8"/>
        <rFont val="Verdana"/>
        <family val="2"/>
      </rPr>
      <t>lien vers {CA5.2;r010;c060}</t>
    </r>
  </si>
  <si>
    <r>
      <rPr>
        <sz val="8"/>
        <rFont val="Verdana"/>
        <family val="2"/>
      </rPr>
      <t>lien vers {CA5.2;r020;c060}</t>
    </r>
  </si>
  <si>
    <r>
      <rPr>
        <sz val="8"/>
        <rFont val="Verdana"/>
        <family val="2"/>
      </rPr>
      <t>lien vers {CA5.2;r090;c060}</t>
    </r>
  </si>
  <si>
    <r>
      <rPr>
        <sz val="9"/>
        <rFont val="Verdana"/>
        <family val="2"/>
      </rPr>
      <t>070</t>
    </r>
  </si>
  <si>
    <r>
      <rPr>
        <sz val="9"/>
        <rFont val="Verdana"/>
        <family val="2"/>
      </rPr>
      <t>1.2</t>
    </r>
  </si>
  <si>
    <r>
      <rPr>
        <b/>
        <sz val="11"/>
        <rFont val="Verdana"/>
        <family val="2"/>
      </rPr>
      <t>INTÉRÊTS MINORITAIRES ET ÉQUIVALENTS</t>
    </r>
  </si>
  <si>
    <r>
      <rPr>
        <sz val="8"/>
        <rFont val="Verdana"/>
        <family val="2"/>
      </rPr>
      <t>lien vers {CA1;r240}</t>
    </r>
  </si>
  <si>
    <r>
      <rPr>
        <sz val="8"/>
        <rFont val="Verdana"/>
        <family val="2"/>
      </rPr>
      <t>lien vers {CA1;r680}</t>
    </r>
  </si>
  <si>
    <r>
      <rPr>
        <sz val="8"/>
        <rFont val="Verdana"/>
        <family val="2"/>
      </rPr>
      <t>lien vers {CA1;r900}</t>
    </r>
  </si>
  <si>
    <r>
      <rPr>
        <sz val="9"/>
        <rFont val="Verdana"/>
        <family val="2"/>
      </rPr>
      <t>080</t>
    </r>
  </si>
  <si>
    <r>
      <rPr>
        <sz val="9"/>
        <rFont val="Verdana"/>
        <family val="2"/>
      </rPr>
      <t>1.2.1</t>
    </r>
  </si>
  <si>
    <r>
      <rPr>
        <b/>
        <sz val="11"/>
        <rFont val="Verdana"/>
        <family val="2"/>
      </rPr>
      <t>Instruments et éléments de fonds propres non reconnus en tant qu’intérêts minoritaires</t>
    </r>
  </si>
  <si>
    <r>
      <rPr>
        <sz val="9"/>
        <rFont val="Verdana"/>
        <family val="2"/>
      </rPr>
      <t>090</t>
    </r>
  </si>
  <si>
    <r>
      <rPr>
        <sz val="9"/>
        <rFont val="Verdana"/>
        <family val="2"/>
      </rPr>
      <t>1.2.2</t>
    </r>
  </si>
  <si>
    <r>
      <rPr>
        <b/>
        <sz val="11"/>
        <rFont val="Verdana"/>
        <family val="2"/>
      </rPr>
      <t>Comptabilisation transitoire en fonds propres consolidés des intérêts minoritaires</t>
    </r>
  </si>
  <si>
    <r>
      <rPr>
        <sz val="9"/>
        <rFont val="Verdana"/>
        <family val="2"/>
      </rPr>
      <t>091</t>
    </r>
  </si>
  <si>
    <r>
      <rPr>
        <sz val="9"/>
        <rFont val="Verdana"/>
        <family val="2"/>
      </rPr>
      <t>1.2.3</t>
    </r>
  </si>
  <si>
    <r>
      <rPr>
        <sz val="11"/>
        <rFont val="Verdana"/>
        <family val="2"/>
      </rPr>
      <t>Comptabilisation transitoire en fonds propres consolidés des fonds propres additionnels de catégorie 1 éligibles</t>
    </r>
  </si>
  <si>
    <r>
      <rPr>
        <sz val="9"/>
        <rFont val="Verdana"/>
        <family val="2"/>
      </rPr>
      <t>092</t>
    </r>
  </si>
  <si>
    <r>
      <rPr>
        <sz val="9"/>
        <rFont val="Verdana"/>
        <family val="2"/>
      </rPr>
      <t>1.2.4</t>
    </r>
  </si>
  <si>
    <r>
      <rPr>
        <sz val="11"/>
        <rFont val="Verdana"/>
        <family val="2"/>
      </rPr>
      <t>Comptabilisation transitoire en fonds propres consolidés des fonds propres de catégorie 2 éligibles</t>
    </r>
  </si>
  <si>
    <r>
      <rPr>
        <sz val="9"/>
        <rFont val="Verdana"/>
        <family val="2"/>
      </rPr>
      <t>100</t>
    </r>
  </si>
  <si>
    <r>
      <rPr>
        <sz val="9"/>
        <rFont val="Verdana"/>
        <family val="2"/>
      </rPr>
      <t>1.3</t>
    </r>
  </si>
  <si>
    <r>
      <rPr>
        <b/>
        <sz val="11"/>
        <rFont val="Verdana"/>
        <family val="2"/>
      </rPr>
      <t>AUTRES AJUSTEMENTS TRANSITOIRES</t>
    </r>
  </si>
  <si>
    <r>
      <rPr>
        <sz val="8"/>
        <rFont val="Verdana"/>
        <family val="2"/>
      </rPr>
      <t>lien vers {CA1;r520}</t>
    </r>
  </si>
  <si>
    <r>
      <rPr>
        <sz val="8"/>
        <rFont val="Verdana"/>
        <family val="2"/>
      </rPr>
      <t>lien vers {CA1;r730}</t>
    </r>
  </si>
  <si>
    <r>
      <rPr>
        <sz val="8"/>
        <rFont val="Verdana"/>
        <family val="2"/>
      </rPr>
      <t>lien vers {CA1;r960}</t>
    </r>
  </si>
  <si>
    <r>
      <rPr>
        <sz val="9"/>
        <rFont val="Verdana"/>
        <family val="2"/>
      </rPr>
      <t>110</t>
    </r>
  </si>
  <si>
    <r>
      <rPr>
        <sz val="9"/>
        <rFont val="Verdana"/>
        <family val="2"/>
      </rPr>
      <t>1.3.1</t>
    </r>
  </si>
  <si>
    <r>
      <rPr>
        <b/>
        <sz val="11"/>
        <rFont val="Verdana"/>
        <family val="2"/>
      </rPr>
      <t>Pertes et gains non réalisés</t>
    </r>
  </si>
  <si>
    <r>
      <rPr>
        <sz val="9"/>
        <rFont val="Verdana"/>
        <family val="2"/>
      </rPr>
      <t>120</t>
    </r>
  </si>
  <si>
    <r>
      <rPr>
        <sz val="9"/>
        <rFont val="Verdana"/>
        <family val="2"/>
      </rPr>
      <t>1.3.1.1</t>
    </r>
  </si>
  <si>
    <r>
      <rPr>
        <sz val="11"/>
        <rFont val="Verdana"/>
        <family val="2"/>
      </rPr>
      <t>Gains non réalisés</t>
    </r>
  </si>
  <si>
    <r>
      <rPr>
        <sz val="9"/>
        <rFont val="Verdana"/>
        <family val="2"/>
      </rPr>
      <t>130</t>
    </r>
  </si>
  <si>
    <r>
      <rPr>
        <sz val="9"/>
        <rFont val="Verdana"/>
        <family val="2"/>
      </rPr>
      <t>1.3.1.2</t>
    </r>
  </si>
  <si>
    <r>
      <rPr>
        <sz val="11"/>
        <rFont val="Verdana"/>
        <family val="2"/>
      </rPr>
      <t>Pertes non réalisées</t>
    </r>
  </si>
  <si>
    <r>
      <rPr>
        <sz val="9"/>
        <rFont val="Verdana"/>
        <family val="2"/>
      </rPr>
      <t>133</t>
    </r>
  </si>
  <si>
    <r>
      <rPr>
        <sz val="9"/>
        <rFont val="Verdana"/>
        <family val="2"/>
      </rPr>
      <t>1.3.1.3.</t>
    </r>
  </si>
  <si>
    <r>
      <rPr>
        <sz val="11"/>
        <rFont val="Verdana"/>
        <family val="2"/>
      </rPr>
      <t>Gains non réalisés qui sont liés à des expositions sur les administrations centrales classées dans la catégorie «Disponibles à la vente» de la norme comptable internationale IAS 39 telle qu’adoptée par l’UE</t>
    </r>
  </si>
  <si>
    <r>
      <rPr>
        <sz val="9"/>
        <rFont val="Verdana"/>
        <family val="2"/>
      </rPr>
      <t>136</t>
    </r>
  </si>
  <si>
    <r>
      <rPr>
        <sz val="9"/>
        <rFont val="Verdana"/>
        <family val="2"/>
      </rPr>
      <t>1.3.1.4.</t>
    </r>
  </si>
  <si>
    <r>
      <rPr>
        <sz val="11"/>
        <rFont val="Verdana"/>
        <family val="2"/>
      </rPr>
      <t>Pertes non réalisées qui sont liées à des expositions sur les administrations centrales classées dans la catégorie «Disponibles à la vente» de la norme comptable internationale IAS 39 telle qu’adoptée par l’UE</t>
    </r>
  </si>
  <si>
    <r>
      <rPr>
        <sz val="9"/>
        <rFont val="Verdana"/>
        <family val="2"/>
      </rPr>
      <t>138</t>
    </r>
  </si>
  <si>
    <r>
      <rPr>
        <sz val="9"/>
        <rFont val="Verdana"/>
        <family val="2"/>
      </rPr>
      <t>1.3.1.5.</t>
    </r>
  </si>
  <si>
    <r>
      <rPr>
        <sz val="11"/>
        <rFont val="Verdana"/>
        <family val="2"/>
      </rPr>
      <t>Pertes et gains en juste valeur résultant du propre risque de crédit de l’établissement lié aux instruments dérivés au passif du bilan</t>
    </r>
  </si>
  <si>
    <r>
      <rPr>
        <sz val="9"/>
        <rFont val="Verdana"/>
        <family val="2"/>
      </rPr>
      <t>140</t>
    </r>
  </si>
  <si>
    <r>
      <rPr>
        <sz val="9"/>
        <rFont val="Verdana"/>
        <family val="2"/>
      </rPr>
      <t>1.3.2</t>
    </r>
  </si>
  <si>
    <r>
      <rPr>
        <b/>
        <sz val="11"/>
        <rFont val="Verdana"/>
        <family val="2"/>
      </rPr>
      <t>Déductions</t>
    </r>
  </si>
  <si>
    <r>
      <rPr>
        <sz val="9"/>
        <rFont val="Verdana"/>
        <family val="2"/>
      </rPr>
      <t>150</t>
    </r>
  </si>
  <si>
    <r>
      <rPr>
        <sz val="9"/>
        <rFont val="Verdana"/>
        <family val="2"/>
      </rPr>
      <t>1.3.2.1</t>
    </r>
  </si>
  <si>
    <r>
      <rPr>
        <sz val="11"/>
        <rFont val="Verdana"/>
        <family val="2"/>
      </rPr>
      <t>Résultats négatifs de l’exercice en cours</t>
    </r>
  </si>
  <si>
    <r>
      <rPr>
        <sz val="9"/>
        <rFont val="Verdana"/>
        <family val="2"/>
      </rPr>
      <t>160</t>
    </r>
  </si>
  <si>
    <r>
      <rPr>
        <sz val="9"/>
        <rFont val="Verdana"/>
        <family val="2"/>
      </rPr>
      <t>1.3.2.2</t>
    </r>
  </si>
  <si>
    <r>
      <rPr>
        <sz val="11"/>
        <rFont val="Verdana"/>
        <family val="2"/>
      </rPr>
      <t>Immobilisations incorporelles</t>
    </r>
  </si>
  <si>
    <r>
      <rPr>
        <sz val="9"/>
        <rFont val="Verdana"/>
        <family val="2"/>
      </rPr>
      <t>170</t>
    </r>
  </si>
  <si>
    <r>
      <rPr>
        <sz val="9"/>
        <rFont val="Verdana"/>
        <family val="2"/>
      </rPr>
      <t>1.3.2.3</t>
    </r>
  </si>
  <si>
    <r>
      <rPr>
        <sz val="11"/>
        <rFont val="Verdana"/>
        <family val="2"/>
      </rPr>
      <t>Actifs d'impôt différé dépendant de bénéfices futurs et ne résultant pas de différences temporelles</t>
    </r>
  </si>
  <si>
    <r>
      <rPr>
        <sz val="9"/>
        <rFont val="Verdana"/>
        <family val="2"/>
      </rPr>
      <t>180</t>
    </r>
  </si>
  <si>
    <r>
      <rPr>
        <sz val="9"/>
        <rFont val="Verdana"/>
        <family val="2"/>
      </rPr>
      <t>1.3.2.4</t>
    </r>
  </si>
  <si>
    <r>
      <rPr>
        <sz val="11"/>
        <rFont val="Verdana"/>
        <family val="2"/>
      </rPr>
      <t>Insuffisance NI de provisions par rapport aux pertes anticipées</t>
    </r>
  </si>
  <si>
    <r>
      <rPr>
        <sz val="9"/>
        <rFont val="Verdana"/>
        <family val="2"/>
      </rPr>
      <t>190</t>
    </r>
  </si>
  <si>
    <r>
      <rPr>
        <sz val="9"/>
        <rFont val="Verdana"/>
        <family val="2"/>
      </rPr>
      <t>1.3.2.5</t>
    </r>
  </si>
  <si>
    <r>
      <rPr>
        <sz val="11"/>
        <rFont val="Verdana"/>
        <family val="2"/>
      </rPr>
      <t>Actifs du fonds de pension à prestations définies</t>
    </r>
  </si>
  <si>
    <r>
      <rPr>
        <sz val="9"/>
        <rFont val="Verdana"/>
        <family val="2"/>
      </rPr>
      <t>194</t>
    </r>
  </si>
  <si>
    <r>
      <rPr>
        <sz val="9"/>
        <rFont val="Verdana"/>
        <family val="2"/>
      </rPr>
      <t>1.3.2.5*</t>
    </r>
  </si>
  <si>
    <r>
      <rPr>
        <sz val="11"/>
        <rFont val="Verdana"/>
        <family val="2"/>
      </rPr>
      <t>dont: Introduction des modifications de l'IAS 19 - élément positif</t>
    </r>
  </si>
  <si>
    <r>
      <rPr>
        <sz val="9"/>
        <rFont val="Verdana"/>
        <family val="2"/>
      </rPr>
      <t>198</t>
    </r>
  </si>
  <si>
    <r>
      <rPr>
        <sz val="9"/>
        <rFont val="Verdana"/>
        <family val="2"/>
      </rPr>
      <t>1.3.2.5**</t>
    </r>
  </si>
  <si>
    <r>
      <rPr>
        <sz val="11"/>
        <rFont val="Verdana"/>
        <family val="2"/>
      </rPr>
      <t>dont: Introduction des modifications de l'IAS 19 - élément négatif</t>
    </r>
  </si>
  <si>
    <r>
      <rPr>
        <sz val="9"/>
        <rFont val="Verdana"/>
        <family val="2"/>
      </rPr>
      <t>200</t>
    </r>
  </si>
  <si>
    <r>
      <rPr>
        <sz val="9"/>
        <rFont val="Verdana"/>
        <family val="2"/>
      </rPr>
      <t>1.3.2.6</t>
    </r>
  </si>
  <si>
    <r>
      <rPr>
        <sz val="11"/>
        <rFont val="Verdana"/>
        <family val="2"/>
      </rPr>
      <t>Instruments de fonds propres</t>
    </r>
  </si>
  <si>
    <r>
      <rPr>
        <sz val="9"/>
        <rFont val="Verdana"/>
        <family val="2"/>
      </rPr>
      <t>210</t>
    </r>
  </si>
  <si>
    <r>
      <rPr>
        <sz val="9"/>
        <rFont val="Verdana"/>
        <family val="2"/>
      </rPr>
      <t>1.3.2.6.1</t>
    </r>
  </si>
  <si>
    <r>
      <rPr>
        <sz val="11"/>
        <rFont val="Verdana"/>
        <family val="2"/>
      </rPr>
      <t>Propres instruments CET1</t>
    </r>
  </si>
  <si>
    <r>
      <rPr>
        <sz val="9"/>
        <rFont val="Verdana"/>
        <family val="2"/>
      </rPr>
      <t>211</t>
    </r>
  </si>
  <si>
    <r>
      <rPr>
        <sz val="9"/>
        <rFont val="Verdana"/>
        <family val="2"/>
      </rPr>
      <t>1.3.2.6.1**</t>
    </r>
  </si>
  <si>
    <r>
      <rPr>
        <sz val="11"/>
        <rFont val="Verdana"/>
        <family val="2"/>
      </rPr>
      <t>dont: Détentions directes</t>
    </r>
  </si>
  <si>
    <r>
      <rPr>
        <sz val="9"/>
        <rFont val="Verdana"/>
        <family val="2"/>
      </rPr>
      <t>212</t>
    </r>
  </si>
  <si>
    <r>
      <rPr>
        <sz val="9"/>
        <rFont val="Verdana"/>
        <family val="2"/>
      </rPr>
      <t>1.3.2.6.1*</t>
    </r>
  </si>
  <si>
    <r>
      <rPr>
        <sz val="11"/>
        <rFont val="Verdana"/>
        <family val="2"/>
      </rPr>
      <t>dont: Détentions indirectes</t>
    </r>
  </si>
  <si>
    <r>
      <rPr>
        <sz val="9"/>
        <rFont val="Verdana"/>
        <family val="2"/>
      </rPr>
      <t>220</t>
    </r>
  </si>
  <si>
    <r>
      <rPr>
        <sz val="9"/>
        <rFont val="Verdana"/>
        <family val="2"/>
      </rPr>
      <t>1.3.2.6.2</t>
    </r>
  </si>
  <si>
    <r>
      <rPr>
        <sz val="11"/>
        <rFont val="Verdana"/>
        <family val="2"/>
      </rPr>
      <t>Propres instruments AT1</t>
    </r>
  </si>
  <si>
    <r>
      <rPr>
        <sz val="9"/>
        <rFont val="Verdana"/>
        <family val="2"/>
      </rPr>
      <t>221</t>
    </r>
  </si>
  <si>
    <r>
      <rPr>
        <sz val="9"/>
        <rFont val="Verdana"/>
        <family val="2"/>
      </rPr>
      <t>1.3.2.6.2**</t>
    </r>
  </si>
  <si>
    <r>
      <rPr>
        <sz val="11"/>
        <rFont val="Verdana"/>
        <family val="2"/>
      </rPr>
      <t>dont: Détentions directes</t>
    </r>
  </si>
  <si>
    <r>
      <rPr>
        <sz val="9"/>
        <rFont val="Verdana"/>
        <family val="2"/>
      </rPr>
      <t>222</t>
    </r>
  </si>
  <si>
    <r>
      <rPr>
        <sz val="9"/>
        <rFont val="Verdana"/>
        <family val="2"/>
      </rPr>
      <t>1.3.2.6.2*</t>
    </r>
  </si>
  <si>
    <r>
      <rPr>
        <sz val="11"/>
        <rFont val="Verdana"/>
        <family val="2"/>
      </rPr>
      <t>dont: Détentions indirectes</t>
    </r>
  </si>
  <si>
    <r>
      <rPr>
        <sz val="9"/>
        <rFont val="Verdana"/>
        <family val="2"/>
      </rPr>
      <t>230</t>
    </r>
  </si>
  <si>
    <r>
      <rPr>
        <sz val="9"/>
        <rFont val="Verdana"/>
        <family val="2"/>
      </rPr>
      <t>1.3.2.6.3</t>
    </r>
  </si>
  <si>
    <r>
      <rPr>
        <sz val="11"/>
        <rFont val="Verdana"/>
        <family val="2"/>
      </rPr>
      <t>Propres instruments T2</t>
    </r>
  </si>
  <si>
    <r>
      <rPr>
        <sz val="9"/>
        <rFont val="Verdana"/>
        <family val="2"/>
      </rPr>
      <t>231</t>
    </r>
  </si>
  <si>
    <r>
      <rPr>
        <sz val="9"/>
        <rFont val="Verdana"/>
        <family val="2"/>
      </rPr>
      <t>1.3.2.6.3*</t>
    </r>
  </si>
  <si>
    <r>
      <rPr>
        <sz val="11"/>
        <rFont val="Verdana"/>
        <family val="2"/>
      </rPr>
      <t>dont: Détentions directes</t>
    </r>
  </si>
  <si>
    <r>
      <rPr>
        <sz val="9"/>
        <rFont val="Verdana"/>
        <family val="2"/>
      </rPr>
      <t>232</t>
    </r>
  </si>
  <si>
    <r>
      <rPr>
        <sz val="9"/>
        <rFont val="Verdana"/>
        <family val="2"/>
      </rPr>
      <t>1.3.2.6.3**</t>
    </r>
  </si>
  <si>
    <r>
      <rPr>
        <sz val="11"/>
        <rFont val="Verdana"/>
        <family val="2"/>
      </rPr>
      <t>dont: Détentions indirectes</t>
    </r>
  </si>
  <si>
    <r>
      <rPr>
        <sz val="9"/>
        <rFont val="Verdana"/>
        <family val="2"/>
      </rPr>
      <t>240</t>
    </r>
  </si>
  <si>
    <r>
      <rPr>
        <sz val="9"/>
        <rFont val="Verdana"/>
        <family val="2"/>
      </rPr>
      <t>1.3.2.7</t>
    </r>
  </si>
  <si>
    <r>
      <rPr>
        <sz val="11"/>
        <rFont val="Verdana"/>
        <family val="2"/>
      </rPr>
      <t>Détentions croisées</t>
    </r>
  </si>
  <si>
    <r>
      <rPr>
        <sz val="9"/>
        <rFont val="Verdana"/>
        <family val="2"/>
      </rPr>
      <t>250</t>
    </r>
  </si>
  <si>
    <r>
      <rPr>
        <sz val="9"/>
        <rFont val="Verdana"/>
        <family val="2"/>
      </rPr>
      <t>1.3.2.7.1</t>
    </r>
  </si>
  <si>
    <r>
      <rPr>
        <sz val="11"/>
        <rFont val="Verdana"/>
        <family val="2"/>
      </rPr>
      <t>Détentions croisées de fonds propres CET1</t>
    </r>
  </si>
  <si>
    <r>
      <rPr>
        <sz val="9"/>
        <rFont val="Verdana"/>
        <family val="2"/>
      </rPr>
      <t>260</t>
    </r>
  </si>
  <si>
    <r>
      <rPr>
        <sz val="9"/>
        <rFont val="Verdana"/>
        <family val="2"/>
      </rPr>
      <t>1.3.2.7.1.1</t>
    </r>
  </si>
  <si>
    <r>
      <rPr>
        <sz val="11"/>
        <rFont val="Verdana"/>
        <family val="2"/>
      </rPr>
      <t>Détentions croisées de fonds propres CET1 d’entités du secteur financier dans lesquelles l’établissement ne détient pas d’investissement important</t>
    </r>
  </si>
  <si>
    <r>
      <rPr>
        <sz val="9"/>
        <rFont val="Verdana"/>
        <family val="2"/>
      </rPr>
      <t>270</t>
    </r>
  </si>
  <si>
    <r>
      <rPr>
        <sz val="9"/>
        <rFont val="Verdana"/>
        <family val="2"/>
      </rPr>
      <t>1.3.2.7.1.2</t>
    </r>
  </si>
  <si>
    <r>
      <rPr>
        <sz val="11"/>
        <rFont val="Verdana"/>
        <family val="2"/>
      </rPr>
      <t>Détentions croisées de fonds propres CET1 d’entités du secteur financier dans lesquelles l’établissement détient un investissement important</t>
    </r>
  </si>
  <si>
    <r>
      <rPr>
        <sz val="9"/>
        <rFont val="Verdana"/>
        <family val="2"/>
      </rPr>
      <t>280</t>
    </r>
  </si>
  <si>
    <r>
      <rPr>
        <sz val="9"/>
        <rFont val="Verdana"/>
        <family val="2"/>
      </rPr>
      <t>1.3.2.7.2</t>
    </r>
  </si>
  <si>
    <r>
      <rPr>
        <sz val="11"/>
        <rFont val="Verdana"/>
        <family val="2"/>
      </rPr>
      <t>Détentions croisées de fonds propres AT1</t>
    </r>
  </si>
  <si>
    <r>
      <rPr>
        <sz val="9"/>
        <rFont val="Verdana"/>
        <family val="2"/>
      </rPr>
      <t>290</t>
    </r>
  </si>
  <si>
    <r>
      <rPr>
        <sz val="9"/>
        <rFont val="Verdana"/>
        <family val="2"/>
      </rPr>
      <t>1.3.2.7.2.1</t>
    </r>
  </si>
  <si>
    <r>
      <rPr>
        <sz val="11"/>
        <rFont val="Verdana"/>
        <family val="2"/>
      </rPr>
      <t>Détentions croisées de fonds propres AT1 d’entités du secteur financier dans lesquelles l’établissement ne détient pas d’investissement important</t>
    </r>
  </si>
  <si>
    <r>
      <rPr>
        <sz val="9"/>
        <rFont val="Verdana"/>
        <family val="2"/>
      </rPr>
      <t>300</t>
    </r>
  </si>
  <si>
    <r>
      <rPr>
        <sz val="9"/>
        <rFont val="Verdana"/>
        <family val="2"/>
      </rPr>
      <t>1.3.2.7.2.2</t>
    </r>
  </si>
  <si>
    <r>
      <rPr>
        <sz val="11"/>
        <rFont val="Verdana"/>
        <family val="2"/>
      </rPr>
      <t>Détentions croisées de fonds propres AT1 d’entités du secteur financier dans lesquelles l’établissement détient un investissement important</t>
    </r>
  </si>
  <si>
    <r>
      <rPr>
        <sz val="9"/>
        <rFont val="Verdana"/>
        <family val="2"/>
      </rPr>
      <t>310</t>
    </r>
  </si>
  <si>
    <r>
      <rPr>
        <sz val="9"/>
        <rFont val="Verdana"/>
        <family val="2"/>
      </rPr>
      <t>1.3.2.7.3</t>
    </r>
  </si>
  <si>
    <r>
      <rPr>
        <sz val="11"/>
        <rFont val="Verdana"/>
        <family val="2"/>
      </rPr>
      <t>Détentions croisées de fonds propres T2</t>
    </r>
  </si>
  <si>
    <r>
      <rPr>
        <sz val="9"/>
        <rFont val="Verdana"/>
        <family val="2"/>
      </rPr>
      <t>320</t>
    </r>
  </si>
  <si>
    <r>
      <rPr>
        <sz val="9"/>
        <rFont val="Verdana"/>
        <family val="2"/>
      </rPr>
      <t>1.3.2.7.3.1</t>
    </r>
  </si>
  <si>
    <r>
      <rPr>
        <sz val="11"/>
        <rFont val="Verdana"/>
        <family val="2"/>
      </rPr>
      <t>Détentions croisées de fonds propres T2 d’entités du secteur financier dans lesquelles l’établissement ne détient pas d’investissement important</t>
    </r>
  </si>
  <si>
    <r>
      <rPr>
        <sz val="9"/>
        <rFont val="Verdana"/>
        <family val="2"/>
      </rPr>
      <t>330</t>
    </r>
  </si>
  <si>
    <r>
      <rPr>
        <sz val="9"/>
        <rFont val="Verdana"/>
        <family val="2"/>
      </rPr>
      <t>1.3.2.7.3.2</t>
    </r>
  </si>
  <si>
    <r>
      <rPr>
        <sz val="11"/>
        <rFont val="Verdana"/>
        <family val="2"/>
      </rPr>
      <t>Détentions croisées de fonds propres T2 d’entités du secteur financier dans lesquelles l’établissement détient un investissement important</t>
    </r>
  </si>
  <si>
    <r>
      <rPr>
        <sz val="9"/>
        <rFont val="Verdana"/>
        <family val="2"/>
      </rPr>
      <t>340</t>
    </r>
  </si>
  <si>
    <r>
      <rPr>
        <sz val="9"/>
        <rFont val="Verdana"/>
        <family val="2"/>
      </rPr>
      <t>1.3.2.8</t>
    </r>
  </si>
  <si>
    <r>
      <rPr>
        <sz val="11"/>
        <rFont val="Verdana"/>
        <family val="2"/>
      </rPr>
      <t>Instruments de fonds propres d’entités du secteur financier dans lesquelles l’établissement ne détient pas d’investissement important</t>
    </r>
  </si>
  <si>
    <r>
      <rPr>
        <sz val="9"/>
        <rFont val="Verdana"/>
        <family val="2"/>
      </rPr>
      <t>350</t>
    </r>
  </si>
  <si>
    <r>
      <rPr>
        <sz val="9"/>
        <rFont val="Verdana"/>
        <family val="2"/>
      </rPr>
      <t>1.3.2.8.1</t>
    </r>
  </si>
  <si>
    <r>
      <rPr>
        <sz val="11"/>
        <rFont val="Verdana"/>
        <family val="2"/>
      </rPr>
      <t>Instruments CET1 d’entités du secteur financier dans lesquelles l’établissement ne détient pas d’investissement important</t>
    </r>
  </si>
  <si>
    <r>
      <rPr>
        <sz val="9"/>
        <rFont val="Verdana"/>
        <family val="2"/>
      </rPr>
      <t>360</t>
    </r>
  </si>
  <si>
    <r>
      <rPr>
        <sz val="9"/>
        <rFont val="Verdana"/>
        <family val="2"/>
      </rPr>
      <t>1.3.2.8.2</t>
    </r>
  </si>
  <si>
    <r>
      <rPr>
        <sz val="11"/>
        <rFont val="Verdana"/>
        <family val="2"/>
      </rPr>
      <t>Instruments AT1 d’entités du secteur financier dans lesquelles l’établissement ne détient pas d’investissement important</t>
    </r>
  </si>
  <si>
    <r>
      <rPr>
        <sz val="9"/>
        <rFont val="Verdana"/>
        <family val="2"/>
      </rPr>
      <t>370</t>
    </r>
  </si>
  <si>
    <r>
      <rPr>
        <sz val="9"/>
        <rFont val="Verdana"/>
        <family val="2"/>
      </rPr>
      <t>1.3.2.8.3</t>
    </r>
  </si>
  <si>
    <r>
      <rPr>
        <sz val="11"/>
        <rFont val="Verdana"/>
        <family val="2"/>
      </rPr>
      <t>Instruments T2 d’entités du secteur financier dans lesquelles l’établissement ne détient pas d’investissement important</t>
    </r>
  </si>
  <si>
    <r>
      <rPr>
        <sz val="9"/>
        <rFont val="Verdana"/>
        <family val="2"/>
      </rPr>
      <t>380</t>
    </r>
  </si>
  <si>
    <r>
      <rPr>
        <sz val="9"/>
        <rFont val="Verdana"/>
        <family val="2"/>
      </rPr>
      <t>1.3.2.9</t>
    </r>
  </si>
  <si>
    <r>
      <rPr>
        <sz val="11"/>
        <rFont val="Verdana"/>
        <family val="2"/>
      </rPr>
      <t>Actifs d’impôt différé dépendant de bénéfices futurs et résultant de différences temporelles et instruments CET1 d’entités du secteur financier dans lesquelles l’établissement détient un investissement important</t>
    </r>
  </si>
  <si>
    <r>
      <rPr>
        <sz val="9"/>
        <rFont val="Verdana"/>
        <family val="2"/>
      </rPr>
      <t>385</t>
    </r>
  </si>
  <si>
    <r>
      <rPr>
        <sz val="9"/>
        <rFont val="Verdana"/>
        <family val="2"/>
      </rPr>
      <t xml:space="preserve">1.3.2.9 </t>
    </r>
    <r>
      <rPr>
        <i/>
        <sz val="9"/>
        <rFont val="Verdana"/>
      </rPr>
      <t>bis</t>
    </r>
  </si>
  <si>
    <r>
      <rPr>
        <sz val="11"/>
        <rFont val="Verdana"/>
        <family val="2"/>
      </rPr>
      <t>Actifs d'impôt différé dépendant de bénéfices futurs et résultant de différences temporelles</t>
    </r>
  </si>
  <si>
    <r>
      <rPr>
        <sz val="9"/>
        <rFont val="Verdana"/>
        <family val="2"/>
      </rPr>
      <t>390</t>
    </r>
  </si>
  <si>
    <r>
      <rPr>
        <sz val="9"/>
        <rFont val="Verdana"/>
        <family val="2"/>
      </rPr>
      <t>1.3.2.10</t>
    </r>
  </si>
  <si>
    <r>
      <rPr>
        <sz val="11"/>
        <rFont val="Verdana"/>
        <family val="2"/>
      </rPr>
      <t>Instruments de fonds propres d’entités du secteur financier dans lesquelles l’établissement détient un investissement important</t>
    </r>
  </si>
  <si>
    <r>
      <rPr>
        <sz val="9"/>
        <rFont val="Verdana"/>
        <family val="2"/>
      </rPr>
      <t>400</t>
    </r>
  </si>
  <si>
    <r>
      <rPr>
        <sz val="9"/>
        <rFont val="Verdana"/>
        <family val="2"/>
      </rPr>
      <t>1.3.2.10.1</t>
    </r>
  </si>
  <si>
    <r>
      <rPr>
        <sz val="11"/>
        <rFont val="Verdana"/>
        <family val="2"/>
      </rPr>
      <t>Instruments CET1 d'entités du secteur financier dans lesquelles l'établissement détient un investissement important</t>
    </r>
  </si>
  <si>
    <r>
      <rPr>
        <sz val="9"/>
        <rFont val="Verdana"/>
        <family val="2"/>
      </rPr>
      <t>410</t>
    </r>
  </si>
  <si>
    <r>
      <rPr>
        <sz val="9"/>
        <rFont val="Verdana"/>
        <family val="2"/>
      </rPr>
      <t>1.3.2.10.2</t>
    </r>
  </si>
  <si>
    <r>
      <rPr>
        <sz val="11"/>
        <rFont val="Verdana"/>
        <family val="2"/>
      </rPr>
      <t>Instruments AT1 d'entités du secteur financier dans lesquelles l'établissement détient un investissement important</t>
    </r>
  </si>
  <si>
    <r>
      <rPr>
        <sz val="9"/>
        <rFont val="Verdana"/>
        <family val="2"/>
      </rPr>
      <t>420</t>
    </r>
  </si>
  <si>
    <r>
      <rPr>
        <sz val="9"/>
        <rFont val="Verdana"/>
        <family val="2"/>
      </rPr>
      <t>1.3.2.10.3</t>
    </r>
  </si>
  <si>
    <r>
      <rPr>
        <sz val="11"/>
        <rFont val="Verdana"/>
        <family val="2"/>
      </rPr>
      <t>Instruments T2 d'entités du secteur financier dans lesquelles l'établissement détient un investissement important</t>
    </r>
  </si>
  <si>
    <r>
      <rPr>
        <sz val="9"/>
        <rFont val="Verdana"/>
        <family val="2"/>
      </rPr>
      <t>425</t>
    </r>
  </si>
  <si>
    <r>
      <rPr>
        <sz val="9"/>
        <rFont val="Verdana"/>
        <family val="2"/>
      </rPr>
      <t>1.3.2.11</t>
    </r>
  </si>
  <si>
    <r>
      <rPr>
        <sz val="11"/>
        <rFont val="Verdana"/>
        <family val="2"/>
      </rPr>
      <t>Autorisation de ne pas déduire les participations dans des entreprises d'assurance des éléments CET 1</t>
    </r>
  </si>
  <si>
    <r>
      <rPr>
        <sz val="9"/>
        <rFont val="Verdana"/>
        <family val="2"/>
      </rPr>
      <t>430</t>
    </r>
  </si>
  <si>
    <r>
      <rPr>
        <sz val="9"/>
        <rFont val="Verdana"/>
        <family val="2"/>
      </rPr>
      <t>1.3.3</t>
    </r>
  </si>
  <si>
    <r>
      <rPr>
        <sz val="9"/>
        <rFont val="Verdana"/>
        <family val="2"/>
      </rPr>
      <t>440</t>
    </r>
  </si>
  <si>
    <r>
      <rPr>
        <sz val="9"/>
        <rFont val="Verdana"/>
        <family val="2"/>
      </rPr>
      <t>1.3.4</t>
    </r>
  </si>
  <si>
    <r>
      <rPr>
        <b/>
        <sz val="11"/>
        <rFont val="Verdana"/>
        <family val="2"/>
      </rPr>
      <t>Ajustements dus aux dispositions transitoires liées à la norme IFRS 9</t>
    </r>
  </si>
  <si>
    <r>
      <rPr>
        <b/>
        <sz val="16"/>
        <rFont val="Verdana"/>
        <family val="2"/>
      </rPr>
      <t>C 05.02 - INSTRUMENTS BÉNÉFICIANT D'UNE CLAUSE D'ANTÉRIORITÉ: INSTRUMENTS NE CONSTITUANT PAS UNE AIDE D'ÉTAT (CA5.2)</t>
    </r>
  </si>
  <si>
    <r>
      <rPr>
        <b/>
        <sz val="11"/>
        <rFont val="Verdana"/>
        <family val="2"/>
      </rPr>
      <t>CA 5.2 Instruments bénéficiant d'une clause d'antériorité: Instruments ne constituant pas une aide d'État</t>
    </r>
  </si>
  <si>
    <r>
      <rPr>
        <b/>
        <sz val="11"/>
        <rFont val="Verdana"/>
        <family val="2"/>
      </rPr>
      <t>Montant des instruments plus les primes d’émission y afférentes</t>
    </r>
  </si>
  <si>
    <r>
      <rPr>
        <b/>
        <sz val="11"/>
        <rFont val="Verdana"/>
        <family val="2"/>
      </rPr>
      <t>Base de calcul de la limite</t>
    </r>
  </si>
  <si>
    <r>
      <rPr>
        <b/>
        <sz val="11"/>
        <rFont val="Verdana"/>
        <family val="2"/>
      </rPr>
      <t>Pourcentage applicable</t>
    </r>
  </si>
  <si>
    <r>
      <rPr>
        <b/>
        <sz val="11"/>
        <rFont val="Verdana"/>
        <family val="2"/>
      </rPr>
      <t>Limite</t>
    </r>
  </si>
  <si>
    <r>
      <rPr>
        <b/>
        <sz val="11"/>
        <rFont val="Verdana"/>
        <family val="2"/>
      </rPr>
      <t>(-) Montant dépassant les limites relatives au maintien des acquis</t>
    </r>
  </si>
  <si>
    <r>
      <rPr>
        <b/>
        <sz val="11"/>
        <rFont val="Verdana"/>
        <family val="2"/>
      </rPr>
      <t>Montant total bénéficiant d’une clause d’antériorité</t>
    </r>
  </si>
  <si>
    <r>
      <rPr>
        <b/>
        <sz val="11"/>
        <rFont val="Verdana"/>
        <family val="2"/>
      </rPr>
      <t>Code</t>
    </r>
  </si>
  <si>
    <r>
      <rPr>
        <b/>
        <sz val="11"/>
        <rFont val="Verdana"/>
        <family val="2"/>
      </rPr>
      <t>ID</t>
    </r>
  </si>
  <si>
    <r>
      <rPr>
        <b/>
        <sz val="11"/>
        <rFont val="Verdana"/>
        <family val="2"/>
      </rPr>
      <t>Poste</t>
    </r>
  </si>
  <si>
    <r>
      <rPr>
        <sz val="9"/>
        <rFont val="Verdana"/>
        <family val="2"/>
      </rPr>
      <t>010</t>
    </r>
  </si>
  <si>
    <r>
      <rPr>
        <sz val="9"/>
        <rFont val="Verdana"/>
        <family val="2"/>
      </rPr>
      <t>020</t>
    </r>
  </si>
  <si>
    <r>
      <rPr>
        <sz val="9"/>
        <rFont val="Verdana"/>
        <family val="2"/>
      </rPr>
      <t>030</t>
    </r>
  </si>
  <si>
    <r>
      <rPr>
        <sz val="9"/>
        <rFont val="Verdana"/>
        <family val="2"/>
      </rPr>
      <t>040</t>
    </r>
  </si>
  <si>
    <r>
      <rPr>
        <sz val="9"/>
        <rFont val="Verdana"/>
        <family val="2"/>
      </rPr>
      <t>050</t>
    </r>
  </si>
  <si>
    <r>
      <rPr>
        <sz val="9"/>
        <rFont val="Verdana"/>
        <family val="2"/>
      </rPr>
      <t>060</t>
    </r>
  </si>
  <si>
    <r>
      <rPr>
        <sz val="9"/>
        <rFont val="Verdana"/>
        <family val="2"/>
      </rPr>
      <t>010</t>
    </r>
  </si>
  <si>
    <r>
      <rPr>
        <sz val="9"/>
        <rFont val="Verdana"/>
        <family val="2"/>
      </rPr>
      <t>1.</t>
    </r>
  </si>
  <si>
    <r>
      <rPr>
        <b/>
        <sz val="11"/>
        <rFont val="Verdana"/>
        <family val="2"/>
      </rPr>
      <t>Instruments éligibles en vertu du point a) de l'article 57 de la directive 2006/48/CE</t>
    </r>
  </si>
  <si>
    <r>
      <rPr>
        <sz val="8"/>
        <rFont val="Verdana"/>
        <family val="2"/>
      </rPr>
      <t>lien vers {CA5.1;r060;c010)</t>
    </r>
  </si>
  <si>
    <r>
      <rPr>
        <sz val="9"/>
        <rFont val="Verdana"/>
        <family val="2"/>
      </rPr>
      <t>020</t>
    </r>
  </si>
  <si>
    <r>
      <rPr>
        <sz val="9"/>
        <rFont val="Verdana"/>
        <family val="2"/>
      </rPr>
      <t>2.</t>
    </r>
  </si>
  <si>
    <r>
      <rPr>
        <b/>
        <sz val="11"/>
        <rFont val="Verdana"/>
        <family val="2"/>
      </rPr>
      <t>Instruments éligibles en vertu du point ca) de l’article 57 et de l’article 154, paragraphes 8 et 9, de la directive 2006/48/CE, sous réserve des limites de l’article 489</t>
    </r>
  </si>
  <si>
    <r>
      <rPr>
        <sz val="8"/>
        <rFont val="Verdana"/>
        <family val="2"/>
      </rPr>
      <t>lien vers {CA5.1;r060;c020)</t>
    </r>
  </si>
  <si>
    <r>
      <rPr>
        <sz val="9"/>
        <rFont val="Verdana"/>
        <family val="2"/>
      </rPr>
      <t>030</t>
    </r>
  </si>
  <si>
    <r>
      <rPr>
        <sz val="9"/>
        <rFont val="Verdana"/>
        <family val="2"/>
      </rPr>
      <t>2.1</t>
    </r>
  </si>
  <si>
    <r>
      <rPr>
        <sz val="11"/>
        <rFont val="Verdana"/>
        <family val="2"/>
      </rPr>
      <t>Total des instruments sans option ni incitation au remboursement</t>
    </r>
  </si>
  <si>
    <r>
      <rPr>
        <sz val="9"/>
        <rFont val="Verdana"/>
        <family val="2"/>
      </rPr>
      <t>040</t>
    </r>
  </si>
  <si>
    <r>
      <rPr>
        <sz val="9"/>
        <rFont val="Verdana"/>
        <family val="2"/>
      </rPr>
      <t>2.2.</t>
    </r>
  </si>
  <si>
    <r>
      <rPr>
        <sz val="11"/>
        <rFont val="Verdana"/>
        <family val="2"/>
      </rPr>
      <t>Instruments bénéficiant d’une clause d’antériorité avec option comportant une incitation au remboursement</t>
    </r>
  </si>
  <si>
    <r>
      <rPr>
        <sz val="9"/>
        <rFont val="Verdana"/>
        <family val="2"/>
      </rPr>
      <t>050</t>
    </r>
  </si>
  <si>
    <r>
      <rPr>
        <sz val="9"/>
        <rFont val="Verdana"/>
        <family val="2"/>
      </rPr>
      <t>2.2.1</t>
    </r>
  </si>
  <si>
    <r>
      <rPr>
        <sz val="11"/>
        <rFont val="Verdana"/>
        <family val="2"/>
      </rPr>
      <t>Instruments avec option pouvant être exercée après la date de déclaration, et remplissant les conditions de l’article 52 du CRR après la date d’échéance effective</t>
    </r>
  </si>
  <si>
    <r>
      <rPr>
        <sz val="9"/>
        <rFont val="Verdana"/>
        <family val="2"/>
      </rPr>
      <t>060</t>
    </r>
  </si>
  <si>
    <r>
      <rPr>
        <sz val="9"/>
        <rFont val="Verdana"/>
        <family val="2"/>
      </rPr>
      <t>2.2.2</t>
    </r>
  </si>
  <si>
    <r>
      <rPr>
        <sz val="11"/>
        <rFont val="Verdana"/>
        <family val="2"/>
      </rPr>
      <t>Instruments avec option pouvant être exercée après la date de déclaration, et ne remplissant pas les conditions de l’article 52 du CRR après la date d’échéance effective</t>
    </r>
  </si>
  <si>
    <r>
      <rPr>
        <sz val="9"/>
        <rFont val="Verdana"/>
        <family val="2"/>
      </rPr>
      <t>070</t>
    </r>
  </si>
  <si>
    <r>
      <rPr>
        <sz val="9"/>
        <rFont val="Verdana"/>
        <family val="2"/>
      </rPr>
      <t>2.2.3</t>
    </r>
  </si>
  <si>
    <r>
      <rPr>
        <sz val="11"/>
        <rFont val="Verdana"/>
        <family val="2"/>
      </rPr>
      <t>Instruments avec option pouvant être exercée jusqu'au 20 juillet 2011 inclus, et ne remplissant pas les conditions de l’article 52 du CRR après la date d’échéance effective</t>
    </r>
  </si>
  <si>
    <r>
      <rPr>
        <sz val="9"/>
        <rFont val="Verdana"/>
        <family val="2"/>
      </rPr>
      <t>080</t>
    </r>
  </si>
  <si>
    <r>
      <rPr>
        <sz val="9"/>
        <rFont val="Verdana"/>
        <family val="2"/>
      </rPr>
      <t>2.3</t>
    </r>
  </si>
  <si>
    <r>
      <rPr>
        <sz val="11"/>
        <rFont val="Verdana"/>
        <family val="2"/>
      </rPr>
      <t>Dépassement de la limite des instruments de fonds propres CET1 bénéficiant d’une clause d’antériorité</t>
    </r>
  </si>
  <si>
    <r>
      <rPr>
        <sz val="9"/>
        <rFont val="Verdana"/>
        <family val="2"/>
      </rPr>
      <t>090</t>
    </r>
  </si>
  <si>
    <r>
      <rPr>
        <sz val="9"/>
        <rFont val="Verdana"/>
        <family val="2"/>
      </rPr>
      <t>3</t>
    </r>
  </si>
  <si>
    <r>
      <rPr>
        <b/>
        <sz val="11"/>
        <rFont val="Verdana"/>
        <family val="2"/>
      </rPr>
      <t>Éléments éligibles en vertu des points e), f), g) ou h) de l’article 57 de la directive 2006/48/CE, sous réserve de la limite de l’article 490</t>
    </r>
  </si>
  <si>
    <r>
      <rPr>
        <sz val="8"/>
        <rFont val="Verdana"/>
        <family val="2"/>
      </rPr>
      <t>lien vers {CA5.1;r060;c030)</t>
    </r>
  </si>
  <si>
    <r>
      <rPr>
        <sz val="9"/>
        <rFont val="Verdana"/>
        <family val="2"/>
      </rPr>
      <t>100</t>
    </r>
  </si>
  <si>
    <r>
      <rPr>
        <sz val="9"/>
        <rFont val="Verdana"/>
        <family val="2"/>
      </rPr>
      <t>3.1</t>
    </r>
  </si>
  <si>
    <r>
      <rPr>
        <sz val="11"/>
        <rFont val="Verdana"/>
        <family val="2"/>
      </rPr>
      <t>Total des éléments sans incitation au remboursement</t>
    </r>
  </si>
  <si>
    <r>
      <rPr>
        <sz val="9"/>
        <rFont val="Verdana"/>
        <family val="2"/>
      </rPr>
      <t>110</t>
    </r>
  </si>
  <si>
    <r>
      <rPr>
        <sz val="9"/>
        <rFont val="Verdana"/>
        <family val="2"/>
      </rPr>
      <t>3.2</t>
    </r>
  </si>
  <si>
    <r>
      <rPr>
        <sz val="11"/>
        <rFont val="Verdana"/>
        <family val="2"/>
      </rPr>
      <t>Éléments bénéficiant d’une clause d’antériorité et comportant une incitation au remboursement</t>
    </r>
  </si>
  <si>
    <r>
      <rPr>
        <sz val="9"/>
        <rFont val="Verdana"/>
        <family val="2"/>
      </rPr>
      <t>120</t>
    </r>
  </si>
  <si>
    <r>
      <rPr>
        <sz val="9"/>
        <rFont val="Verdana"/>
        <family val="2"/>
      </rPr>
      <t>3.2.1</t>
    </r>
  </si>
  <si>
    <r>
      <rPr>
        <sz val="11"/>
        <rFont val="Verdana"/>
        <family val="2"/>
      </rPr>
      <t>Éléments avec option pouvant être exercée après la date de déclaration, et remplissant les conditions de l’article 63 du CRR après la date d’échéance effective</t>
    </r>
  </si>
  <si>
    <r>
      <rPr>
        <sz val="9"/>
        <rFont val="Verdana"/>
        <family val="2"/>
      </rPr>
      <t>130</t>
    </r>
  </si>
  <si>
    <r>
      <rPr>
        <sz val="9"/>
        <rFont val="Verdana"/>
        <family val="2"/>
      </rPr>
      <t>3.2.2</t>
    </r>
  </si>
  <si>
    <r>
      <rPr>
        <sz val="11"/>
        <rFont val="Verdana"/>
        <family val="2"/>
      </rPr>
      <t>Éléments avec option pouvant être exercée après la date de déclaration, et ne remplissant pas les conditions de l’article 63 du CRR après la date d’échéance effective</t>
    </r>
  </si>
  <si>
    <r>
      <rPr>
        <sz val="9"/>
        <rFont val="Verdana"/>
        <family val="2"/>
      </rPr>
      <t>140</t>
    </r>
  </si>
  <si>
    <r>
      <rPr>
        <sz val="9"/>
        <rFont val="Verdana"/>
        <family val="2"/>
      </rPr>
      <t>3.2.3</t>
    </r>
  </si>
  <si>
    <r>
      <rPr>
        <sz val="11"/>
        <rFont val="Verdana"/>
        <family val="2"/>
      </rPr>
      <t>Éléments avec option pouvant être exercée jusqu'au 20 juillet 2011 inclus, et ne remplissant pas les conditions de l’article 63 du CRR après la date d’échéance effective</t>
    </r>
  </si>
  <si>
    <r>
      <rPr>
        <sz val="9"/>
        <rFont val="Verdana"/>
        <family val="2"/>
      </rPr>
      <t>150</t>
    </r>
  </si>
  <si>
    <r>
      <rPr>
        <sz val="9"/>
        <rFont val="Verdana"/>
        <family val="2"/>
      </rPr>
      <t>3.3</t>
    </r>
  </si>
  <si>
    <r>
      <rPr>
        <sz val="11"/>
        <rFont val="Verdana"/>
        <family val="2"/>
      </rPr>
      <t>Dépassement de la limite des instruments de fonds propres AT1 bénéficiant d’une clause d’antériorité</t>
    </r>
  </si>
  <si>
    <r>
      <rPr>
        <b/>
        <sz val="16"/>
        <rFont val="Verdana"/>
        <family val="2"/>
      </rPr>
      <t xml:space="preserve"> C 06.01 – SOLVABILITÉ DU GROUPE: INFORMATIONS SUR LES FILIALES – TOTAL (GS TOTAL)</t>
    </r>
  </si>
  <si>
    <r>
      <rPr>
        <b/>
        <sz val="16"/>
        <rFont val="Verdana"/>
        <family val="2"/>
      </rPr>
      <t xml:space="preserve"> C 06.01 – SOLVABILITÉ DU GROUPE: INFORMATIONS SUR LES FILIALES – TOTAL (GS TOTAL)</t>
    </r>
  </si>
  <si>
    <r>
      <rPr>
        <b/>
        <sz val="10"/>
        <rFont val="Verdana"/>
        <family val="2"/>
      </rPr>
      <t>INFORMATIONS SUR LA CONTRIBUTION DES ENTITÉS À LA SOLVABILITÉ DU GROUPE</t>
    </r>
  </si>
  <si>
    <r>
      <rPr>
        <b/>
        <sz val="10"/>
        <rFont val="Verdana"/>
        <family val="2"/>
      </rPr>
      <t>COUSSINS DE FONDS PROPRES</t>
    </r>
  </si>
  <si>
    <r>
      <rPr>
        <b/>
        <sz val="10"/>
        <rFont val="Verdana"/>
        <family val="2"/>
      </rPr>
      <t>MONTANT TOTAL D'EXPOSITION AU RISQUE</t>
    </r>
  </si>
  <si>
    <r>
      <rPr>
        <b/>
        <sz val="10"/>
        <rFont val="Verdana"/>
        <family val="2"/>
      </rPr>
      <t>FONDS PROPRES RECONNAISSABLES INCLUS DANS LES FONDS PROPRES CONSOLIDÉS</t>
    </r>
  </si>
  <si>
    <r>
      <rPr>
        <b/>
        <sz val="10"/>
        <rFont val="Verdana"/>
        <family val="2"/>
      </rPr>
      <t>FONDS PROPRES CONSOLIDÉS</t>
    </r>
  </si>
  <si>
    <r>
      <rPr>
        <b/>
        <sz val="10"/>
        <rFont val="Verdana"/>
        <family val="2"/>
      </rPr>
      <t>EXIGENCE GLOBALE DE COUSSIN DE FONDS PROPRES</t>
    </r>
  </si>
  <si>
    <r>
      <rPr>
        <b/>
        <sz val="10"/>
        <rFont val="Verdana"/>
        <family val="2"/>
      </rPr>
      <t>RISQUES DE CRÉDIT, DE CRÉDIT DE CONTREPARTIE ET DE DILUTION, POSITIONS DE NÉGOCIATION NON DÉNOUÉES ET RISQUE DE RÈGLEMENT/LIVRAISON</t>
    </r>
  </si>
  <si>
    <r>
      <rPr>
        <b/>
        <sz val="10"/>
        <rFont val="Verdana"/>
        <family val="2"/>
      </rPr>
      <t>RISQUE DE POSITION, RISQUE DE CHANGE OU RISQUE SUR MATIÈRES PREMIÈRES</t>
    </r>
  </si>
  <si>
    <r>
      <rPr>
        <b/>
        <sz val="10"/>
        <rFont val="Verdana"/>
        <family val="2"/>
      </rPr>
      <t xml:space="preserve">RISQUE OPÉRATIONNEL </t>
    </r>
  </si>
  <si>
    <r>
      <rPr>
        <b/>
        <sz val="10"/>
        <rFont val="Verdana"/>
        <family val="2"/>
      </rPr>
      <t>MONTANTS D'EXPOSITION AUX AUTRES RISQUES</t>
    </r>
  </si>
  <si>
    <r>
      <rPr>
        <b/>
        <sz val="10"/>
        <rFont val="Verdana"/>
        <family val="2"/>
      </rPr>
      <t>INSTRUMENTS DE FONDS PROPRES DE CATÉGORIE 1 RECONNAISSABLES INCLUS DANS LES FONDS PROPRES DE CATÉGORIE 1 CONSOLIDÉS</t>
    </r>
  </si>
  <si>
    <r>
      <rPr>
        <b/>
        <sz val="10"/>
        <rFont val="Verdana"/>
        <family val="2"/>
      </rPr>
      <t>INSTRUMENTS DE FONDS PROPRES RECONNAISSABLES INCLUS DANS LES FONDS PROPRES DE CATÉGORIE 2 CONSOLIDÉS</t>
    </r>
  </si>
  <si>
    <r>
      <rPr>
        <b/>
        <sz val="10"/>
        <rFont val="Verdana"/>
        <family val="2"/>
      </rPr>
      <t>POUR MÉMOIRE:
GOODWILL (-) / (+) GOODWILL NÉGATIF</t>
    </r>
  </si>
  <si>
    <r>
      <rPr>
        <b/>
        <sz val="10"/>
        <rFont val="Verdana"/>
        <family val="2"/>
      </rPr>
      <t>DONT: FONDS PROPRES DE BASE DE CATÉGORIE 1</t>
    </r>
  </si>
  <si>
    <r>
      <rPr>
        <b/>
        <sz val="10"/>
        <rFont val="Verdana"/>
        <family val="2"/>
      </rPr>
      <t>DONT: FONDS PROPRES ADDITIONNELS DE CATÉGORIE 1</t>
    </r>
  </si>
  <si>
    <r>
      <rPr>
        <b/>
        <sz val="10"/>
        <rFont val="Verdana"/>
        <family val="2"/>
      </rPr>
      <t>DONT: CONTRIBUTIONS AU RÉSULTAT CONSOLIDÉ</t>
    </r>
  </si>
  <si>
    <r>
      <rPr>
        <b/>
        <sz val="10"/>
        <rFont val="Verdana"/>
        <family val="2"/>
      </rPr>
      <t>DONT: (-) GOODWILL / (+) GOODWILL NÉGATIF</t>
    </r>
  </si>
  <si>
    <r>
      <rPr>
        <b/>
        <sz val="10"/>
        <rFont val="Verdana"/>
        <family val="2"/>
      </rPr>
      <t>COUSSIN DE CONSERVATION DE FONDS PROPRES</t>
    </r>
  </si>
  <si>
    <r>
      <rPr>
        <b/>
        <sz val="10"/>
        <rFont val="Verdana"/>
        <family val="2"/>
      </rPr>
      <t>COUSSIN DE FONDS PROPRES CONTRACYCLIQUE SPÉCIFIQUE À L'ÉTABLISSEMENT</t>
    </r>
  </si>
  <si>
    <r>
      <rPr>
        <b/>
        <sz val="10"/>
        <rFont val="Verdana"/>
        <family val="2"/>
      </rPr>
      <t>COUSSIN DE CONSERVATION DÉCOULANT DU RISQUE MACRO-PRUDENTIEL OU SYSTÉMIQUE CONSTATÉ AU NIVEAU D’UN ÉTAT MEMBRE</t>
    </r>
  </si>
  <si>
    <r>
      <rPr>
        <b/>
        <sz val="10"/>
        <rFont val="Verdana"/>
        <family val="2"/>
      </rPr>
      <t>COUSSIN POUR LE RISQUE SYSTÉMIQUE</t>
    </r>
  </si>
  <si>
    <r>
      <rPr>
        <b/>
        <sz val="10"/>
        <rFont val="Verdana"/>
        <family val="2"/>
      </rPr>
      <t>COUSSIN POUR LES ÉTABLISSEMENTS D’IMPORTANCE SYSTÉMIQUE</t>
    </r>
  </si>
  <si>
    <r>
      <rPr>
        <b/>
        <sz val="10"/>
        <rFont val="Verdana"/>
        <family val="2"/>
      </rPr>
      <t>COUSSIN POUR LES ÉTABLISSEMENTS D’IMPORTANCE SYSTÉMIQUE MONDIALE</t>
    </r>
  </si>
  <si>
    <r>
      <rPr>
        <b/>
        <sz val="10"/>
        <rFont val="Verdana"/>
        <family val="2"/>
      </rPr>
      <t>COUSSIN POUR LES AUTRES ÉTABLISSEMENTS D’IMPORTANCE SYSTÉMIQUE</t>
    </r>
  </si>
  <si>
    <r>
      <rPr>
        <b/>
        <sz val="10"/>
        <rFont val="Verdana"/>
        <family val="2"/>
      </rPr>
      <t>INTÉRÊTS MINORITAIRES INCLUS DANS LES FONDS PROPRES DE BASE DE CATÉGORIE 1 CONSOLIDÉS</t>
    </r>
  </si>
  <si>
    <r>
      <rPr>
        <b/>
        <sz val="10"/>
        <rFont val="Verdana"/>
        <family val="2"/>
      </rPr>
      <t>INSTRUMENTS DE FONDS PROPRES DE CATÉGORIE 1 RECONNAISSABLES INCLUS DANS LES FONDS PROPRES ADDITIONNELS DE CATÉGORIE 1 CONSOLIDÉS</t>
    </r>
  </si>
  <si>
    <r>
      <rPr>
        <sz val="9"/>
        <rFont val="Verdana"/>
        <family val="2"/>
      </rPr>
      <t>250</t>
    </r>
  </si>
  <si>
    <r>
      <rPr>
        <sz val="9"/>
        <rFont val="Verdana"/>
        <family val="2"/>
      </rPr>
      <t>260</t>
    </r>
  </si>
  <si>
    <r>
      <rPr>
        <sz val="9"/>
        <rFont val="Verdana"/>
        <family val="2"/>
      </rPr>
      <t>270</t>
    </r>
  </si>
  <si>
    <r>
      <rPr>
        <sz val="9"/>
        <rFont val="Verdana"/>
        <family val="2"/>
      </rPr>
      <t>280</t>
    </r>
  </si>
  <si>
    <r>
      <rPr>
        <sz val="9"/>
        <rFont val="Verdana"/>
        <family val="2"/>
      </rPr>
      <t>290</t>
    </r>
  </si>
  <si>
    <r>
      <rPr>
        <sz val="9"/>
        <rFont val="Verdana"/>
        <family val="2"/>
      </rPr>
      <t>300</t>
    </r>
  </si>
  <si>
    <r>
      <rPr>
        <sz val="9"/>
        <rFont val="Verdana"/>
        <family val="2"/>
      </rPr>
      <t>310</t>
    </r>
  </si>
  <si>
    <r>
      <rPr>
        <sz val="9"/>
        <rFont val="Verdana"/>
        <family val="2"/>
      </rPr>
      <t>320</t>
    </r>
  </si>
  <si>
    <r>
      <rPr>
        <sz val="9"/>
        <rFont val="Verdana"/>
        <family val="2"/>
      </rPr>
      <t>330</t>
    </r>
  </si>
  <si>
    <r>
      <rPr>
        <sz val="9"/>
        <rFont val="Verdana"/>
        <family val="2"/>
      </rPr>
      <t>340</t>
    </r>
  </si>
  <si>
    <r>
      <rPr>
        <sz val="9"/>
        <rFont val="Verdana"/>
        <family val="2"/>
      </rPr>
      <t>350</t>
    </r>
  </si>
  <si>
    <r>
      <rPr>
        <sz val="9"/>
        <rFont val="Verdana"/>
        <family val="2"/>
      </rPr>
      <t>360</t>
    </r>
  </si>
  <si>
    <r>
      <rPr>
        <sz val="9"/>
        <rFont val="Verdana"/>
        <family val="2"/>
      </rPr>
      <t>370</t>
    </r>
  </si>
  <si>
    <r>
      <rPr>
        <sz val="9"/>
        <rFont val="Verdana"/>
        <family val="2"/>
      </rPr>
      <t>380</t>
    </r>
  </si>
  <si>
    <r>
      <rPr>
        <sz val="9"/>
        <rFont val="Verdana"/>
        <family val="2"/>
      </rPr>
      <t>390</t>
    </r>
  </si>
  <si>
    <r>
      <rPr>
        <sz val="9"/>
        <rFont val="Verdana"/>
        <family val="2"/>
      </rPr>
      <t>400</t>
    </r>
  </si>
  <si>
    <r>
      <rPr>
        <sz val="9"/>
        <rFont val="Verdana"/>
        <family val="2"/>
      </rPr>
      <t>410</t>
    </r>
  </si>
  <si>
    <r>
      <rPr>
        <sz val="9"/>
        <rFont val="Verdana"/>
        <family val="2"/>
      </rPr>
      <t>420</t>
    </r>
  </si>
  <si>
    <r>
      <rPr>
        <sz val="9"/>
        <rFont val="Verdana"/>
        <family val="2"/>
      </rPr>
      <t>430</t>
    </r>
  </si>
  <si>
    <r>
      <rPr>
        <sz val="9"/>
        <rFont val="Verdana"/>
        <family val="2"/>
      </rPr>
      <t>440</t>
    </r>
  </si>
  <si>
    <r>
      <rPr>
        <sz val="9"/>
        <rFont val="Verdana"/>
        <family val="2"/>
      </rPr>
      <t>450</t>
    </r>
  </si>
  <si>
    <r>
      <rPr>
        <sz val="9"/>
        <rFont val="Verdana"/>
        <family val="2"/>
      </rPr>
      <t>460</t>
    </r>
  </si>
  <si>
    <r>
      <rPr>
        <sz val="9"/>
        <rFont val="Verdana"/>
        <family val="2"/>
      </rPr>
      <t>470</t>
    </r>
  </si>
  <si>
    <r>
      <rPr>
        <sz val="9"/>
        <rFont val="Verdana"/>
        <family val="2"/>
      </rPr>
      <t>480</t>
    </r>
  </si>
  <si>
    <r>
      <rPr>
        <sz val="9"/>
        <rFont val="Verdana"/>
        <family val="2"/>
      </rPr>
      <t>010</t>
    </r>
  </si>
  <si>
    <r>
      <rPr>
        <sz val="10"/>
        <rFont val="Verdana"/>
        <family val="2"/>
      </rPr>
      <t>TOTAL</t>
    </r>
  </si>
  <si>
    <r>
      <rPr>
        <b/>
        <sz val="16"/>
        <rFont val="Verdana"/>
        <family val="2"/>
      </rPr>
      <t xml:space="preserve"> C 06.02 – SOLVABILITÉ DU GROUPE: INFORMATIONS SUR LES FILIALES (GS)</t>
    </r>
  </si>
  <si>
    <r>
      <rPr>
        <b/>
        <sz val="16"/>
        <rFont val="Verdana"/>
        <family val="2"/>
      </rPr>
      <t xml:space="preserve"> C 06.02 – SOLVABILITÉ DU GROUPE: INFORMATIONS SUR LES FILIALES (GS)</t>
    </r>
  </si>
  <si>
    <r>
      <rPr>
        <b/>
        <sz val="16"/>
        <rFont val="Verdana"/>
        <family val="2"/>
      </rPr>
      <t xml:space="preserve"> C 06.02 – SOLVABILITÉ DU GROUPE: INFORMATIONS SUR LES FILIALES (GS)</t>
    </r>
  </si>
  <si>
    <r>
      <rPr>
        <b/>
        <sz val="16"/>
        <rFont val="Verdana"/>
        <family val="2"/>
      </rPr>
      <t xml:space="preserve"> C 06.02 – SOLVABILITÉ DU GROUPE: INFORMATIONS SUR LES FILIALES (GS)</t>
    </r>
  </si>
  <si>
    <r>
      <rPr>
        <b/>
        <sz val="10"/>
        <rFont val="Verdana"/>
        <family val="2"/>
      </rPr>
      <t>ENTITÉS COMPRISES DANS LE PÉRIMÈTRE DE CONSOLIDATION</t>
    </r>
  </si>
  <si>
    <r>
      <rPr>
        <b/>
        <sz val="10"/>
        <rFont val="Verdana"/>
        <family val="2"/>
      </rPr>
      <t>INFORMATIONS SUR LES ENTITÉS SOUMISES À DES EXIGENCES DE FONDS PROPRES</t>
    </r>
  </si>
  <si>
    <r>
      <rPr>
        <b/>
        <sz val="10"/>
        <rFont val="Verdana"/>
        <family val="2"/>
      </rPr>
      <t>INFORMATIONS SUR LA CONTRIBUTION DES ENTITÉS À LA SOLVABILITÉ DU GROUPE</t>
    </r>
  </si>
  <si>
    <r>
      <rPr>
        <b/>
        <sz val="10"/>
        <rFont val="Verdana"/>
        <family val="2"/>
      </rPr>
      <t>COUSSINS DE FONDS PROPRES</t>
    </r>
  </si>
  <si>
    <r>
      <rPr>
        <b/>
        <sz val="10"/>
        <rFont val="Verdana"/>
        <family val="2"/>
      </rPr>
      <t>NOM</t>
    </r>
  </si>
  <si>
    <r>
      <rPr>
        <b/>
        <sz val="10"/>
        <rFont val="Verdana"/>
        <family val="2"/>
      </rPr>
      <t>CODE</t>
    </r>
  </si>
  <si>
    <r>
      <rPr>
        <b/>
        <sz val="10"/>
        <rFont val="Verdana"/>
        <family val="2"/>
      </rPr>
      <t>Code LEI</t>
    </r>
  </si>
  <si>
    <r>
      <rPr>
        <b/>
        <sz val="10"/>
        <rFont val="Verdana"/>
        <family val="2"/>
      </rPr>
      <t xml:space="preserve">ÉTABLISSEMENT OU ÉQUIVALENT
</t>
    </r>
    <r>
      <rPr>
        <b/>
        <sz val="10"/>
        <color theme="1"/>
        <rFont val="Verdana"/>
        <family val="2"/>
      </rPr>
      <t>(OUI/NON)</t>
    </r>
  </si>
  <si>
    <r>
      <rPr>
        <b/>
        <sz val="10"/>
        <rFont val="Verdana"/>
        <family val="2"/>
      </rPr>
      <t xml:space="preserve">PÉRIMÈTRE DES DONNÉES: SUR BASE INDIVIDUELLE INTÉGRALEMENT CONSOLIDÉE (SF) OU SUR BASE INDIVIDUELLE PARTIELLEMENT CONSOLIDÉE (SP) </t>
    </r>
  </si>
  <si>
    <r>
      <rPr>
        <b/>
        <sz val="10"/>
        <rFont val="Verdana"/>
        <family val="2"/>
      </rPr>
      <t>CODE PAYS</t>
    </r>
  </si>
  <si>
    <r>
      <rPr>
        <b/>
        <sz val="10"/>
        <rFont val="Verdana"/>
        <family val="2"/>
      </rPr>
      <t>PARTICIPATION (%)</t>
    </r>
  </si>
  <si>
    <r>
      <rPr>
        <b/>
        <sz val="10"/>
        <rFont val="Verdana"/>
        <family val="2"/>
      </rPr>
      <t>MONTANT TOTAL D'EXPOSITION AU RISQUE</t>
    </r>
  </si>
  <si>
    <r>
      <rPr>
        <b/>
        <sz val="10"/>
        <rFont val="Verdana"/>
        <family val="2"/>
      </rPr>
      <t>FONDS PROPRES</t>
    </r>
  </si>
  <si>
    <r>
      <rPr>
        <b/>
        <sz val="10"/>
        <rFont val="Verdana"/>
        <family val="2"/>
      </rPr>
      <t>MONTANT TOTAL D'EXPOSITION AU RISQUE</t>
    </r>
  </si>
  <si>
    <r>
      <rPr>
        <b/>
        <sz val="10"/>
        <rFont val="Verdana"/>
        <family val="2"/>
      </rPr>
      <t>FONDS PROPRES RECONNAISSABLES INCLUS DANS LES FONDS PROPRES CONSOLIDÉS</t>
    </r>
  </si>
  <si>
    <r>
      <rPr>
        <b/>
        <sz val="10"/>
        <rFont val="Verdana"/>
        <family val="2"/>
      </rPr>
      <t>FONDS PROPRES CONSOLIDÉS</t>
    </r>
  </si>
  <si>
    <r>
      <rPr>
        <b/>
        <sz val="10"/>
        <rFont val="Verdana"/>
        <family val="2"/>
      </rPr>
      <t>EXIGENCE GLOBALE DE COUSSIN DE FONDS PROPRES</t>
    </r>
  </si>
  <si>
    <r>
      <rPr>
        <b/>
        <sz val="10"/>
        <rFont val="Verdana"/>
        <family val="2"/>
      </rPr>
      <t>RISQUES DE CRÉDIT, DE CRÉDIT DE CONTREPARTIE ET DE DILUTION, POSITIONS DE NÉGOCIATION NON DÉNOUÉES ET RISQUE DE RÈGLEMENT/LIVRAISON</t>
    </r>
  </si>
  <si>
    <r>
      <rPr>
        <b/>
        <sz val="10"/>
        <rFont val="Verdana"/>
        <family val="2"/>
      </rPr>
      <t>RISQUE DE POSITION, RISQUE DE CHANGE OU RISQUE SUR MATIÈRES PREMIÈRES</t>
    </r>
  </si>
  <si>
    <r>
      <rPr>
        <b/>
        <sz val="10"/>
        <rFont val="Verdana"/>
        <family val="2"/>
      </rPr>
      <t xml:space="preserve">RISQUE OPÉRATIONNEL </t>
    </r>
  </si>
  <si>
    <r>
      <rPr>
        <b/>
        <sz val="10"/>
        <rFont val="Verdana"/>
        <family val="2"/>
      </rPr>
      <t>MONTANTS D'EXPOSITION AUX AUTRES RISQUES</t>
    </r>
  </si>
  <si>
    <r>
      <rPr>
        <b/>
        <sz val="10"/>
        <rFont val="Verdana"/>
        <family val="2"/>
      </rPr>
      <t>TOTAL FONDS PROPRES DE CATÉGORIE 1</t>
    </r>
  </si>
  <si>
    <r>
      <rPr>
        <b/>
        <sz val="10"/>
        <rFont val="Verdana"/>
        <family val="2"/>
      </rPr>
      <t>FONDS PROPRES DE CATÉGORIE 2</t>
    </r>
  </si>
  <si>
    <r>
      <rPr>
        <b/>
        <sz val="10"/>
        <rFont val="Verdana"/>
        <family val="2"/>
      </rPr>
      <t>RISQUES DE CRÉDIT, DE CRÉDIT DE CONTREPARTIE ET DE DILUTION, POSITIONS DE NÉGOCIATION NON DÉNOUÉES ET RISQUE DE RÈGLEMENT/LIVRAISON</t>
    </r>
  </si>
  <si>
    <r>
      <rPr>
        <b/>
        <sz val="10"/>
        <rFont val="Verdana"/>
        <family val="2"/>
      </rPr>
      <t>RISQUE DE POSITION, RISQUE DE CHANGE OU RISQUE SUR MATIÈRES PREMIÈRES</t>
    </r>
  </si>
  <si>
    <r>
      <rPr>
        <b/>
        <sz val="10"/>
        <rFont val="Verdana"/>
        <family val="2"/>
      </rPr>
      <t xml:space="preserve">RISQUE OPÉRATIONNEL </t>
    </r>
  </si>
  <si>
    <r>
      <rPr>
        <b/>
        <sz val="10"/>
        <rFont val="Verdana"/>
        <family val="2"/>
      </rPr>
      <t>MONTANTS D'EXPOSITION AUX AUTRES RISQUES</t>
    </r>
  </si>
  <si>
    <r>
      <rPr>
        <b/>
        <sz val="10"/>
        <rFont val="Verdana"/>
        <family val="2"/>
      </rPr>
      <t>INSTRUMENTS DE FONDS PROPRES DE CATÉGORIE 1 RECONNAISSABLES INCLUS DANS LES FONDS PROPRES DE CATÉGORIE 1 CONSOLIDÉS</t>
    </r>
  </si>
  <si>
    <r>
      <rPr>
        <b/>
        <sz val="10"/>
        <rFont val="Verdana"/>
        <family val="2"/>
      </rPr>
      <t>INSTRUMENTS DE FONDS PROPRES RECONNAISSABLES INCLUS DANS LES FONDS PROPRES DE CATÉGORIE 2 CONSOLIDÉS</t>
    </r>
  </si>
  <si>
    <r>
      <rPr>
        <b/>
        <sz val="10"/>
        <rFont val="Verdana"/>
        <family val="2"/>
      </rPr>
      <t>POUR MÉMOIRE:
GOODWILL (-) / (+) GOODWILL NÉGATIF</t>
    </r>
  </si>
  <si>
    <r>
      <rPr>
        <b/>
        <sz val="10"/>
        <rFont val="Verdana"/>
        <family val="2"/>
      </rPr>
      <t>DONT: FONDS PROPRES DE BASE DE CATÉGORIE 1</t>
    </r>
  </si>
  <si>
    <r>
      <rPr>
        <b/>
        <sz val="10"/>
        <rFont val="Verdana"/>
        <family val="2"/>
      </rPr>
      <t>DONT: FONDS PROPRES ADDITIONNELS DE CATÉGORIE 1</t>
    </r>
  </si>
  <si>
    <r>
      <rPr>
        <b/>
        <sz val="10"/>
        <rFont val="Verdana"/>
        <family val="2"/>
      </rPr>
      <t>DONT: CONTRIBUTIONS AU RÉSULTAT CONSOLIDÉ</t>
    </r>
  </si>
  <si>
    <r>
      <rPr>
        <b/>
        <sz val="10"/>
        <rFont val="Verdana"/>
        <family val="2"/>
      </rPr>
      <t>DONT: (-) GOODWILL / (+) GOODWILL NÉGATIF</t>
    </r>
  </si>
  <si>
    <r>
      <rPr>
        <b/>
        <sz val="10"/>
        <rFont val="Verdana"/>
        <family val="2"/>
      </rPr>
      <t>COUSSIN DE CONSERVATION DE FONDS PROPRES</t>
    </r>
  </si>
  <si>
    <r>
      <rPr>
        <b/>
        <sz val="10"/>
        <rFont val="Verdana"/>
        <family val="2"/>
      </rPr>
      <t>COUSSIN DE FONDS PROPRES CONTRACYCLIQUE SPÉCIFIQUE À L'ÉTABLISSEMENT</t>
    </r>
  </si>
  <si>
    <r>
      <rPr>
        <b/>
        <sz val="10"/>
        <rFont val="Verdana"/>
        <family val="2"/>
      </rPr>
      <t>COUSSIN DE CONSERVATION DÉCOULANT DU RISQUE MACRO-PRUDENTIEL OU SYSTÉMIQUE CONSTATÉ AU NIVEAU D’UN ÉTAT MEMBRE</t>
    </r>
  </si>
  <si>
    <r>
      <rPr>
        <b/>
        <sz val="10"/>
        <rFont val="Verdana"/>
        <family val="2"/>
      </rPr>
      <t>COUSSIN POUR LE RISQUE SYSTÉMIQUE</t>
    </r>
  </si>
  <si>
    <r>
      <rPr>
        <b/>
        <sz val="10"/>
        <rFont val="Verdana"/>
        <family val="2"/>
      </rPr>
      <t>COUSSIN POUR LES ÉTABLISSEMENTS D’IMPORTANCE SYSTÉMIQUE</t>
    </r>
  </si>
  <si>
    <r>
      <rPr>
        <b/>
        <sz val="10"/>
        <rFont val="Verdana"/>
        <family val="2"/>
      </rPr>
      <t>COUSSIN POUR LES ÉTABLISSEMENTS D’IMPORTANCE SYSTÉMIQUE MONDIALE</t>
    </r>
  </si>
  <si>
    <r>
      <rPr>
        <b/>
        <sz val="10"/>
        <rFont val="Verdana"/>
        <family val="2"/>
      </rPr>
      <t>COUSSIN POUR LES AUTRES ÉTABLISSEMENTS D’IMPORTANCE SYSTÉMIQUE</t>
    </r>
  </si>
  <si>
    <r>
      <rPr>
        <b/>
        <sz val="10"/>
        <rFont val="Verdana"/>
        <family val="2"/>
      </rPr>
      <t>Identifiant de l'entité légale</t>
    </r>
  </si>
  <si>
    <r>
      <rPr>
        <b/>
        <sz val="10"/>
        <rFont val="Verdana"/>
        <family val="2"/>
      </rPr>
      <t>FONDS PROPRES DE BASE DE CATÉGORIE 1 (CET1)</t>
    </r>
  </si>
  <si>
    <r>
      <rPr>
        <b/>
        <sz val="10"/>
        <rFont val="Verdana"/>
        <family val="2"/>
      </rPr>
      <t>FONDS PROPRES ADDITIONNELS DE CATÉGORIE 1 (AT1)</t>
    </r>
  </si>
  <si>
    <r>
      <rPr>
        <b/>
        <sz val="10"/>
        <rFont val="Verdana"/>
        <family val="2"/>
      </rPr>
      <t>INTÉRÊTS MINORITAIRES INCLUS DANS LES FONDS PROPRES DE BASE DE CATÉGORIE 1 CONSOLIDÉS</t>
    </r>
  </si>
  <si>
    <r>
      <rPr>
        <b/>
        <sz val="10"/>
        <rFont val="Verdana"/>
        <family val="2"/>
      </rPr>
      <t>INSTRUMENTS DE FONDS PROPRES DE CATÉGORIE 1 RECONNAISSABLES INCLUS DANS LES FONDS PROPRES ADDITIONNELS DE CATÉGORIE 1 CONSOLIDÉS</t>
    </r>
  </si>
  <si>
    <r>
      <rPr>
        <b/>
        <i/>
        <sz val="10"/>
        <rFont val="Verdana"/>
        <family val="2"/>
      </rPr>
      <t>DONT: FONDS PROPRES RECONNAISSABLES</t>
    </r>
  </si>
  <si>
    <r>
      <rPr>
        <b/>
        <i/>
        <sz val="10"/>
        <rFont val="Verdana"/>
        <family val="2"/>
      </rPr>
      <t>INSTRUMENTS DE FONDS PROPRES AFFÉRENTS, RÉSULTATS NON DISTRIBUÉS ET COMPTES DES PRIMES D'ÉMISSION AFFÉRENTS</t>
    </r>
  </si>
  <si>
    <r>
      <rPr>
        <b/>
        <i/>
        <sz val="10"/>
        <rFont val="Verdana"/>
        <family val="2"/>
      </rPr>
      <t>DONT: FONDS PROPRES DE CATÉGORIE 1 RECONNAISSABLES</t>
    </r>
  </si>
  <si>
    <r>
      <rPr>
        <b/>
        <i/>
        <sz val="10"/>
        <rFont val="Verdana"/>
        <family val="2"/>
      </rPr>
      <t>INSTRUMENTS DE FONDS PROPRES T1 AFFÉRENTS, RÉSULTATS NON DISTRIBUÉS ET COMPTES DES PRIMES D’ÉMISSION AFFÉRENTS</t>
    </r>
  </si>
  <si>
    <r>
      <rPr>
        <b/>
        <i/>
        <sz val="10"/>
        <rFont val="Verdana"/>
        <family val="2"/>
      </rPr>
      <t>DONT: INTÉRÊTS MINORITAIRES</t>
    </r>
  </si>
  <si>
    <r>
      <rPr>
        <b/>
        <i/>
        <sz val="10"/>
        <rFont val="Verdana"/>
        <family val="2"/>
      </rPr>
      <t>INSTRUMENTS DE FONDS PROPRES AFFÉRENTS, RÉSULTATS NON DISTRIBUÉS ET COMPTES DES PRIMES D’ÉMISSION ET AUTRES RÉSERVES AFFÉRENTS</t>
    </r>
  </si>
  <si>
    <r>
      <rPr>
        <b/>
        <i/>
        <sz val="10"/>
        <rFont val="Verdana"/>
        <family val="2"/>
      </rPr>
      <t>DONT: FONDS PROPRES ADDITIONNELS DE CATÉGORIE 1 RECONNAISSABLES</t>
    </r>
  </si>
  <si>
    <r>
      <rPr>
        <b/>
        <i/>
        <sz val="10"/>
        <rFont val="Verdana"/>
        <family val="2"/>
      </rPr>
      <t>DONT: FONDS PROPRES DE CATÉGORIE 2 RECONNAISSABLES</t>
    </r>
  </si>
  <si>
    <r>
      <rPr>
        <sz val="9"/>
        <rFont val="Verdana"/>
        <family val="2"/>
      </rPr>
      <t>010</t>
    </r>
  </si>
  <si>
    <r>
      <rPr>
        <sz val="9"/>
        <rFont val="Verdana"/>
        <family val="2"/>
      </rPr>
      <t>020</t>
    </r>
  </si>
  <si>
    <r>
      <rPr>
        <sz val="9"/>
        <rFont val="Verdana"/>
        <family val="2"/>
      </rPr>
      <t>025</t>
    </r>
  </si>
  <si>
    <r>
      <rPr>
        <sz val="9"/>
        <rFont val="Verdana"/>
        <family val="2"/>
      </rPr>
      <t>030</t>
    </r>
  </si>
  <si>
    <r>
      <rPr>
        <sz val="9"/>
        <rFont val="Verdana"/>
        <family val="2"/>
      </rPr>
      <t>040</t>
    </r>
  </si>
  <si>
    <r>
      <rPr>
        <sz val="9"/>
        <rFont val="Verdana"/>
        <family val="2"/>
      </rPr>
      <t>050</t>
    </r>
  </si>
  <si>
    <r>
      <rPr>
        <sz val="9"/>
        <rFont val="Verdana"/>
        <family val="2"/>
      </rPr>
      <t>060</t>
    </r>
  </si>
  <si>
    <r>
      <rPr>
        <sz val="9"/>
        <rFont val="Verdana"/>
        <family val="2"/>
      </rPr>
      <t>070</t>
    </r>
  </si>
  <si>
    <r>
      <rPr>
        <sz val="9"/>
        <rFont val="Verdana"/>
        <family val="2"/>
      </rPr>
      <t>080</t>
    </r>
  </si>
  <si>
    <r>
      <rPr>
        <sz val="9"/>
        <rFont val="Verdana"/>
        <family val="2"/>
      </rPr>
      <t>090</t>
    </r>
  </si>
  <si>
    <r>
      <rPr>
        <sz val="9"/>
        <rFont val="Verdana"/>
        <family val="2"/>
      </rPr>
      <t>100</t>
    </r>
  </si>
  <si>
    <r>
      <rPr>
        <sz val="9"/>
        <rFont val="Verdana"/>
        <family val="2"/>
      </rPr>
      <t>110</t>
    </r>
  </si>
  <si>
    <r>
      <rPr>
        <sz val="9"/>
        <rFont val="Verdana"/>
        <family val="2"/>
      </rPr>
      <t>120</t>
    </r>
  </si>
  <si>
    <r>
      <rPr>
        <sz val="9"/>
        <rFont val="Verdana"/>
        <family val="2"/>
      </rPr>
      <t>130</t>
    </r>
  </si>
  <si>
    <r>
      <rPr>
        <sz val="9"/>
        <rFont val="Verdana"/>
        <family val="2"/>
      </rPr>
      <t>140</t>
    </r>
  </si>
  <si>
    <r>
      <rPr>
        <sz val="9"/>
        <rFont val="Verdana"/>
        <family val="2"/>
      </rPr>
      <t>150</t>
    </r>
  </si>
  <si>
    <r>
      <rPr>
        <sz val="9"/>
        <rFont val="Verdana"/>
        <family val="2"/>
      </rPr>
      <t>160</t>
    </r>
  </si>
  <si>
    <r>
      <rPr>
        <sz val="9"/>
        <rFont val="Verdana"/>
        <family val="2"/>
      </rPr>
      <t>170</t>
    </r>
  </si>
  <si>
    <r>
      <rPr>
        <sz val="9"/>
        <rFont val="Verdana"/>
        <family val="2"/>
      </rPr>
      <t>180</t>
    </r>
  </si>
  <si>
    <r>
      <rPr>
        <sz val="9"/>
        <rFont val="Verdana"/>
        <family val="2"/>
      </rPr>
      <t>190</t>
    </r>
  </si>
  <si>
    <r>
      <rPr>
        <sz val="9"/>
        <rFont val="Verdana"/>
        <family val="2"/>
      </rPr>
      <t>200</t>
    </r>
  </si>
  <si>
    <r>
      <rPr>
        <sz val="9"/>
        <rFont val="Verdana"/>
        <family val="2"/>
      </rPr>
      <t>210</t>
    </r>
  </si>
  <si>
    <r>
      <rPr>
        <sz val="9"/>
        <rFont val="Verdana"/>
        <family val="2"/>
      </rPr>
      <t>220</t>
    </r>
  </si>
  <si>
    <r>
      <rPr>
        <sz val="9"/>
        <rFont val="Verdana"/>
        <family val="2"/>
      </rPr>
      <t>230</t>
    </r>
  </si>
  <si>
    <r>
      <rPr>
        <sz val="9"/>
        <rFont val="Verdana"/>
        <family val="2"/>
      </rPr>
      <t>240</t>
    </r>
  </si>
  <si>
    <r>
      <rPr>
        <sz val="9"/>
        <rFont val="Verdana"/>
        <family val="2"/>
      </rPr>
      <t>250</t>
    </r>
  </si>
  <si>
    <r>
      <rPr>
        <sz val="9"/>
        <rFont val="Verdana"/>
        <family val="2"/>
      </rPr>
      <t>260</t>
    </r>
  </si>
  <si>
    <r>
      <rPr>
        <sz val="9"/>
        <rFont val="Verdana"/>
        <family val="2"/>
      </rPr>
      <t>270</t>
    </r>
  </si>
  <si>
    <r>
      <rPr>
        <sz val="9"/>
        <rFont val="Verdana"/>
        <family val="2"/>
      </rPr>
      <t>280</t>
    </r>
  </si>
  <si>
    <r>
      <rPr>
        <sz val="9"/>
        <rFont val="Verdana"/>
        <family val="2"/>
      </rPr>
      <t>290</t>
    </r>
  </si>
  <si>
    <r>
      <rPr>
        <sz val="9"/>
        <rFont val="Verdana"/>
        <family val="2"/>
      </rPr>
      <t>300</t>
    </r>
  </si>
  <si>
    <r>
      <rPr>
        <sz val="9"/>
        <rFont val="Verdana"/>
        <family val="2"/>
      </rPr>
      <t>310</t>
    </r>
  </si>
  <si>
    <r>
      <rPr>
        <sz val="9"/>
        <rFont val="Verdana"/>
        <family val="2"/>
      </rPr>
      <t>320</t>
    </r>
  </si>
  <si>
    <r>
      <rPr>
        <sz val="9"/>
        <rFont val="Verdana"/>
        <family val="2"/>
      </rPr>
      <t>330</t>
    </r>
  </si>
  <si>
    <r>
      <rPr>
        <sz val="9"/>
        <rFont val="Verdana"/>
        <family val="2"/>
      </rPr>
      <t>340</t>
    </r>
  </si>
  <si>
    <r>
      <rPr>
        <sz val="9"/>
        <rFont val="Verdana"/>
        <family val="2"/>
      </rPr>
      <t>350</t>
    </r>
  </si>
  <si>
    <r>
      <rPr>
        <sz val="9"/>
        <rFont val="Verdana"/>
        <family val="2"/>
      </rPr>
      <t>360</t>
    </r>
  </si>
  <si>
    <r>
      <rPr>
        <sz val="9"/>
        <rFont val="Verdana"/>
        <family val="2"/>
      </rPr>
      <t>370</t>
    </r>
  </si>
  <si>
    <r>
      <rPr>
        <sz val="9"/>
        <rFont val="Verdana"/>
        <family val="2"/>
      </rPr>
      <t>380</t>
    </r>
  </si>
  <si>
    <r>
      <rPr>
        <sz val="9"/>
        <rFont val="Verdana"/>
        <family val="2"/>
      </rPr>
      <t>390</t>
    </r>
  </si>
  <si>
    <r>
      <rPr>
        <sz val="9"/>
        <rFont val="Verdana"/>
        <family val="2"/>
      </rPr>
      <t>400</t>
    </r>
  </si>
  <si>
    <r>
      <rPr>
        <sz val="9"/>
        <rFont val="Verdana"/>
        <family val="2"/>
      </rPr>
      <t>410</t>
    </r>
  </si>
  <si>
    <r>
      <rPr>
        <sz val="9"/>
        <rFont val="Verdana"/>
        <family val="2"/>
      </rPr>
      <t>420</t>
    </r>
  </si>
  <si>
    <r>
      <rPr>
        <sz val="9"/>
        <rFont val="Verdana"/>
        <family val="2"/>
      </rPr>
      <t>430</t>
    </r>
  </si>
  <si>
    <r>
      <rPr>
        <sz val="9"/>
        <rFont val="Verdana"/>
        <family val="2"/>
      </rPr>
      <t>440</t>
    </r>
  </si>
  <si>
    <r>
      <rPr>
        <sz val="9"/>
        <rFont val="Verdana"/>
        <family val="2"/>
      </rPr>
      <t>450</t>
    </r>
  </si>
  <si>
    <r>
      <rPr>
        <sz val="9"/>
        <rFont val="Verdana"/>
        <family val="2"/>
      </rPr>
      <t>460</t>
    </r>
  </si>
  <si>
    <r>
      <rPr>
        <sz val="9"/>
        <rFont val="Verdana"/>
        <family val="2"/>
      </rPr>
      <t>470</t>
    </r>
  </si>
  <si>
    <r>
      <rPr>
        <sz val="9"/>
        <rFont val="Verdana"/>
        <family val="2"/>
      </rPr>
      <t>480</t>
    </r>
  </si>
  <si>
    <r>
      <rPr>
        <b/>
        <sz val="16"/>
        <rFont val="Verdana"/>
        <family val="2"/>
      </rPr>
      <t>C 07.00 - RISQUES DE CRÉDIT ET DE CRÉDIT DE CONTREPARTIE ET POSITIONS DE NÉGOCIATION NON DÉNOUÉES: APPROCHE STANDARD DES EXIGENCES DE FONDS PROPRES (CR SA)</t>
    </r>
  </si>
  <si>
    <r>
      <rPr>
        <b/>
        <sz val="16"/>
        <rFont val="Verdana"/>
        <family val="2"/>
      </rPr>
      <t>C 07.00 - RISQUES DE CRÉDIT ET DE CRÉDIT DE CONTREPARTIE ET POSITIONS DE NÉGOCIATION NON DÉNOUÉES: APPROCHE STANDARD DES EXIGENCES DE FONDS PROPRES (CR SA)</t>
    </r>
  </si>
  <si>
    <r>
      <rPr>
        <b/>
        <sz val="11"/>
        <rFont val="Verdana"/>
        <family val="2"/>
      </rPr>
      <t xml:space="preserve">Catégorie d’expositions SA </t>
    </r>
  </si>
  <si>
    <r>
      <rPr>
        <b/>
        <sz val="11"/>
        <rFont val="Verdana"/>
        <family val="2"/>
      </rPr>
      <t>EXPOSITION INITIALE AVANT APPLICATION DES FACTEURS DE CONVERSION</t>
    </r>
  </si>
  <si>
    <r>
      <rPr>
        <b/>
        <sz val="11"/>
        <rFont val="Verdana"/>
        <family val="2"/>
      </rPr>
      <t>(-) CORRECTIONS DE VALEUR ET PROVISIONS ASSOCIÉES À L’EXPOSITION INITIALE</t>
    </r>
  </si>
  <si>
    <r>
      <rPr>
        <b/>
        <sz val="11"/>
        <rFont val="Verdana"/>
        <family val="2"/>
      </rPr>
      <t>EXPOSITION NETTE DES CORRECTIONS DE VALEUR ET DES PROVISIONS</t>
    </r>
  </si>
  <si>
    <r>
      <rPr>
        <b/>
        <sz val="11"/>
        <rFont val="Verdana"/>
        <family val="2"/>
      </rPr>
      <t>TECHNIQUES D'ATTÉNUATION DU RISQUE DE CRÉDIT (ARC) AVEC EFFETS DE SUBSTITUTION SUR L'EXPOSITION</t>
    </r>
  </si>
  <si>
    <r>
      <rPr>
        <b/>
        <sz val="11"/>
        <rFont val="Verdana"/>
        <family val="2"/>
      </rPr>
      <t>EXPOSITION NETTE COMPTE TENU DES EFFETS DE SUBSTITUTION ARC ET AVANT APPLICATION DES FACTEURS DE CONVERSION</t>
    </r>
  </si>
  <si>
    <r>
      <rPr>
        <b/>
        <sz val="11"/>
        <rFont val="Verdana"/>
        <family val="2"/>
      </rPr>
      <t xml:space="preserve">TECHNIQUES D’ATTÉNUATION DU RISQUE DE CRÉDIT MODIFIANT LE MONTANT DE L’EXPOSITION: PROTECTION DE CRÉDIT FINANCÉE. MÉTHODE GÉNÉRALE FONDÉE SUR LES SÛRETÉS FINANCIÈRES </t>
    </r>
  </si>
  <si>
    <r>
      <rPr>
        <b/>
        <sz val="11"/>
        <rFont val="Verdana"/>
        <family val="2"/>
      </rPr>
      <t>VALEUR EXPOSÉE AU RISQUE PLEINEMENT AJUSTÉE (E*)</t>
    </r>
  </si>
  <si>
    <r>
      <rPr>
        <b/>
        <sz val="11"/>
        <rFont val="Verdana"/>
        <family val="2"/>
      </rPr>
      <t>RÉPARTITION DE LA VALEUR EXPOSÉE AU RISQUE PLEINEMENT AJUSTÉE DES ÉLÉMENTS DE HORS BILAN PAR FACTEUR DE CONVERSION</t>
    </r>
  </si>
  <si>
    <r>
      <rPr>
        <b/>
        <sz val="11"/>
        <rFont val="Verdana"/>
        <family val="2"/>
      </rPr>
      <t xml:space="preserve">VALEUR EXPOSÉE AU RISQUE </t>
    </r>
  </si>
  <si>
    <r>
      <rPr>
        <b/>
        <sz val="11"/>
        <rFont val="Verdana"/>
        <family val="2"/>
      </rPr>
      <t>MONTANT D'EXPOSITION PONDÉRÉ AVANT APPLICATION DU FACTEUR SUPPLÉTIF EN FAVEUR DES PME</t>
    </r>
  </si>
  <si>
    <r>
      <rPr>
        <b/>
        <sz val="11"/>
        <rFont val="Verdana"/>
        <family val="2"/>
      </rPr>
      <t>MONTANT D'EXPOSITION PONDÉRÉ APRÈS APPLICATION DU FACTEUR SUPPLÉTIF EN FAVEUR DES PME</t>
    </r>
  </si>
  <si>
    <r>
      <rPr>
        <b/>
        <sz val="11"/>
        <rFont val="Verdana"/>
        <family val="2"/>
      </rPr>
      <t>PROTECTION DE CRÉDIT NON FINANCÉE: VALEURS CORRIGÉES (Ga)</t>
    </r>
  </si>
  <si>
    <r>
      <rPr>
        <b/>
        <sz val="11"/>
        <rFont val="Verdana"/>
        <family val="2"/>
      </rPr>
      <t>PROTECTION DE CRÉDIT FINANCÉE</t>
    </r>
  </si>
  <si>
    <r>
      <rPr>
        <b/>
        <sz val="11"/>
        <rFont val="Verdana"/>
        <family val="2"/>
      </rPr>
      <t>SUBSTITUTION DE L’EXPOSITION DUE À L’ARC:</t>
    </r>
  </si>
  <si>
    <r>
      <rPr>
        <b/>
        <sz val="11"/>
        <rFont val="Verdana"/>
        <family val="2"/>
      </rPr>
      <t xml:space="preserve">CORRECTION DE L’EXPOSITION POUR VOLATILITÉ </t>
    </r>
  </si>
  <si>
    <r>
      <rPr>
        <b/>
        <sz val="11"/>
        <rFont val="Verdana"/>
        <family val="2"/>
      </rPr>
      <t>(-) SÛRETÉS FINANCIÈRES: VALEUR CORRIGÉE (Cvam)</t>
    </r>
  </si>
  <si>
    <r>
      <rPr>
        <b/>
        <sz val="11"/>
        <rFont val="Verdana"/>
        <family val="2"/>
      </rPr>
      <t>DONT: RÉSULTANT DU RISQUE DE CRÉDIT DE CONTREPARTIE</t>
    </r>
  </si>
  <si>
    <r>
      <rPr>
        <b/>
        <sz val="11"/>
        <rFont val="Verdana"/>
        <family val="2"/>
      </rPr>
      <t>DONT: AVEC ÉVALUATION DE CRÉDIT ÉTABLIE PAR UN OEEC DÉSIGNÉ</t>
    </r>
  </si>
  <si>
    <r>
      <rPr>
        <b/>
        <sz val="11"/>
        <rFont val="Verdana"/>
        <family val="2"/>
      </rPr>
      <t>DONT: AVEC ÉVALUATION DE CRÉDIT DÉCOULANT D’UNE ADMINISTRATION CENTRALE</t>
    </r>
  </si>
  <si>
    <r>
      <rPr>
        <b/>
        <sz val="11"/>
        <rFont val="Verdana"/>
        <family val="2"/>
      </rPr>
      <t>(-) GARANTIES</t>
    </r>
  </si>
  <si>
    <r>
      <rPr>
        <b/>
        <sz val="11"/>
        <rFont val="Verdana"/>
        <family val="2"/>
      </rPr>
      <t>(-) DÉRIVÉS DE CRÉDIT</t>
    </r>
  </si>
  <si>
    <r>
      <rPr>
        <b/>
        <sz val="11"/>
        <rFont val="Verdana"/>
        <family val="2"/>
      </rPr>
      <t>(-) SÛRETÉS FINANCIÈRES: MÉTHODE SIMPLE</t>
    </r>
  </si>
  <si>
    <r>
      <rPr>
        <b/>
        <sz val="11"/>
        <rFont val="Verdana"/>
        <family val="2"/>
      </rPr>
      <t>(-) AUTRES FORMES DE PROTECTION DE CRÉDIT FINANCÉE</t>
    </r>
  </si>
  <si>
    <r>
      <rPr>
        <b/>
        <sz val="11"/>
        <rFont val="Verdana"/>
        <family val="2"/>
      </rPr>
      <t>(-) TOTAL SORTIES</t>
    </r>
  </si>
  <si>
    <r>
      <rPr>
        <b/>
        <sz val="11"/>
        <rFont val="Verdana"/>
        <family val="2"/>
      </rPr>
      <t>TOTAL ENTRÉES (+)</t>
    </r>
  </si>
  <si>
    <r>
      <rPr>
        <b/>
        <sz val="11"/>
        <rFont val="Verdana"/>
        <family val="2"/>
      </rPr>
      <t xml:space="preserve">(-) DONT: AJUSTEMENTS LIÉS À LA VOLATILITÉ ET À L’ÉCHÉANCE </t>
    </r>
  </si>
  <si>
    <r>
      <rPr>
        <b/>
        <sz val="11"/>
        <rFont val="Verdana"/>
        <family val="2"/>
      </rPr>
      <t>DONT: RÉSULTANT DU RISQUE DE CRÉDIT DE CONTREPARTIE</t>
    </r>
  </si>
  <si>
    <r>
      <rPr>
        <sz val="9"/>
        <rFont val="Verdana"/>
        <family val="2"/>
      </rPr>
      <t>010</t>
    </r>
  </si>
  <si>
    <r>
      <rPr>
        <sz val="9"/>
        <rFont val="Verdana"/>
        <family val="2"/>
      </rPr>
      <t>030</t>
    </r>
  </si>
  <si>
    <r>
      <rPr>
        <sz val="9"/>
        <rFont val="Verdana"/>
        <family val="2"/>
      </rPr>
      <t>040</t>
    </r>
  </si>
  <si>
    <r>
      <rPr>
        <sz val="9"/>
        <rFont val="Verdana"/>
        <family val="2"/>
      </rPr>
      <t>050</t>
    </r>
  </si>
  <si>
    <r>
      <rPr>
        <sz val="9"/>
        <rFont val="Verdana"/>
        <family val="2"/>
      </rPr>
      <t>060</t>
    </r>
  </si>
  <si>
    <r>
      <rPr>
        <sz val="9"/>
        <rFont val="Verdana"/>
        <family val="2"/>
      </rPr>
      <t>070</t>
    </r>
  </si>
  <si>
    <r>
      <rPr>
        <sz val="9"/>
        <rFont val="Verdana"/>
        <family val="2"/>
      </rPr>
      <t>080</t>
    </r>
  </si>
  <si>
    <r>
      <rPr>
        <sz val="9"/>
        <rFont val="Verdana"/>
        <family val="2"/>
      </rPr>
      <t>090</t>
    </r>
  </si>
  <si>
    <r>
      <rPr>
        <sz val="9"/>
        <rFont val="Verdana"/>
        <family val="2"/>
      </rPr>
      <t>100</t>
    </r>
  </si>
  <si>
    <r>
      <rPr>
        <sz val="9"/>
        <rFont val="Verdana"/>
        <family val="2"/>
      </rPr>
      <t>110</t>
    </r>
  </si>
  <si>
    <r>
      <rPr>
        <sz val="9"/>
        <rFont val="Verdana"/>
        <family val="2"/>
      </rPr>
      <t>120</t>
    </r>
  </si>
  <si>
    <r>
      <rPr>
        <sz val="9"/>
        <rFont val="Verdana"/>
        <family val="2"/>
      </rPr>
      <t>130</t>
    </r>
  </si>
  <si>
    <r>
      <rPr>
        <sz val="9"/>
        <rFont val="Verdana"/>
        <family val="2"/>
      </rPr>
      <t>140</t>
    </r>
  </si>
  <si>
    <r>
      <rPr>
        <sz val="9"/>
        <rFont val="Verdana"/>
        <family val="2"/>
      </rPr>
      <t>150</t>
    </r>
  </si>
  <si>
    <r>
      <rPr>
        <sz val="9"/>
        <rFont val="Verdana"/>
        <family val="2"/>
      </rPr>
      <t>160</t>
    </r>
  </si>
  <si>
    <r>
      <rPr>
        <sz val="9"/>
        <rFont val="Verdana"/>
        <family val="2"/>
      </rPr>
      <t>170</t>
    </r>
  </si>
  <si>
    <r>
      <rPr>
        <sz val="9"/>
        <rFont val="Verdana"/>
        <family val="2"/>
      </rPr>
      <t>180</t>
    </r>
  </si>
  <si>
    <r>
      <rPr>
        <sz val="9"/>
        <rFont val="Verdana"/>
        <family val="2"/>
      </rPr>
      <t>190</t>
    </r>
  </si>
  <si>
    <r>
      <rPr>
        <sz val="9"/>
        <rFont val="Verdana"/>
        <family val="2"/>
      </rPr>
      <t>200</t>
    </r>
  </si>
  <si>
    <r>
      <rPr>
        <sz val="9"/>
        <rFont val="Verdana"/>
        <family val="2"/>
      </rPr>
      <t>210</t>
    </r>
  </si>
  <si>
    <r>
      <rPr>
        <sz val="9"/>
        <rFont val="Verdana"/>
        <family val="2"/>
      </rPr>
      <t>230</t>
    </r>
  </si>
  <si>
    <r>
      <rPr>
        <sz val="9"/>
        <rFont val="Verdana"/>
        <family val="2"/>
      </rPr>
      <t>240</t>
    </r>
  </si>
  <si>
    <r>
      <rPr>
        <sz val="9"/>
        <rFont val="Verdana"/>
        <family val="2"/>
      </rPr>
      <t>010</t>
    </r>
  </si>
  <si>
    <r>
      <rPr>
        <b/>
        <sz val="11"/>
        <rFont val="Verdana"/>
        <family val="2"/>
      </rPr>
      <t>TOTAL DES EXPOSITIONS</t>
    </r>
  </si>
  <si>
    <r>
      <rPr>
        <sz val="11"/>
        <rFont val="Verdana"/>
        <family val="2"/>
      </rPr>
      <t>Cellule liée à l'état CA</t>
    </r>
  </si>
  <si>
    <r>
      <rPr>
        <sz val="9"/>
        <rFont val="Verdana"/>
        <family val="2"/>
      </rPr>
      <t>015</t>
    </r>
  </si>
  <si>
    <r>
      <rPr>
        <b/>
        <sz val="11"/>
        <rFont val="Verdana"/>
        <family val="2"/>
      </rPr>
      <t>dont: Expositions en défaut</t>
    </r>
  </si>
  <si>
    <r>
      <rPr>
        <sz val="9"/>
        <rFont val="Verdana"/>
        <family val="2"/>
      </rPr>
      <t>020</t>
    </r>
  </si>
  <si>
    <r>
      <rPr>
        <b/>
        <sz val="11"/>
        <rFont val="Verdana"/>
        <family val="2"/>
      </rPr>
      <t>dont: PME</t>
    </r>
  </si>
  <si>
    <r>
      <rPr>
        <sz val="9"/>
        <rFont val="Verdana"/>
        <family val="2"/>
      </rPr>
      <t>030</t>
    </r>
  </si>
  <si>
    <r>
      <rPr>
        <b/>
        <sz val="11"/>
        <rFont val="Verdana"/>
        <family val="2"/>
      </rPr>
      <t xml:space="preserve">dont: Expositions soumises à l'application du facteur supplétif en faveur des PME </t>
    </r>
  </si>
  <si>
    <r>
      <rPr>
        <sz val="9"/>
        <rFont val="Verdana"/>
        <family val="2"/>
      </rPr>
      <t>040</t>
    </r>
  </si>
  <si>
    <r>
      <rPr>
        <b/>
        <sz val="11"/>
        <rFont val="Verdana"/>
        <family val="2"/>
      </rPr>
      <t>dont: Expositions garanties par une hypothèque sur un bien immobilier - Bien immobilier résidentiel</t>
    </r>
  </si>
  <si>
    <r>
      <rPr>
        <sz val="9"/>
        <rFont val="Verdana"/>
        <family val="2"/>
      </rPr>
      <t>050</t>
    </r>
  </si>
  <si>
    <r>
      <rPr>
        <b/>
        <sz val="11"/>
        <rFont val="Verdana"/>
        <family val="2"/>
      </rPr>
      <t>dont: Expositions dans le cadre de l'utilisation partielle permanente de l'approche standard</t>
    </r>
  </si>
  <si>
    <r>
      <rPr>
        <sz val="9"/>
        <rFont val="Verdana"/>
        <family val="2"/>
      </rPr>
      <t>060</t>
    </r>
  </si>
  <si>
    <r>
      <rPr>
        <b/>
        <sz val="11"/>
        <rFont val="Verdana"/>
        <family val="2"/>
      </rPr>
      <t>dont: Expositions en approche standard avec autorisation prudentielle préalable de réaliser une mise en œuvre NI séquentielle</t>
    </r>
  </si>
  <si>
    <r>
      <rPr>
        <b/>
        <sz val="11"/>
        <rFont val="Verdana"/>
        <family val="2"/>
      </rPr>
      <t xml:space="preserve"> RÉPARTITION DU TOTAL DES EXPOSITIONS PAR TYPE D’EXPOSITION:</t>
    </r>
  </si>
  <si>
    <r>
      <rPr>
        <sz val="9"/>
        <rFont val="Verdana"/>
        <family val="2"/>
      </rPr>
      <t>070</t>
    </r>
  </si>
  <si>
    <r>
      <rPr>
        <b/>
        <sz val="11"/>
        <rFont val="Verdana"/>
        <family val="2"/>
      </rPr>
      <t>Expositions au bilan soumises au risque de crédit</t>
    </r>
  </si>
  <si>
    <r>
      <rPr>
        <sz val="9"/>
        <rFont val="Verdana"/>
        <family val="2"/>
      </rPr>
      <t>080</t>
    </r>
  </si>
  <si>
    <r>
      <rPr>
        <b/>
        <sz val="11"/>
        <rFont val="Verdana"/>
        <family val="2"/>
      </rPr>
      <t>Expositions hors bilan soumises au risque de crédit</t>
    </r>
  </si>
  <si>
    <r>
      <rPr>
        <b/>
        <sz val="11"/>
        <rFont val="Verdana"/>
        <family val="2"/>
      </rPr>
      <t>Expositions/Opérations soumises au risque de crédit de contrepartie</t>
    </r>
  </si>
  <si>
    <r>
      <rPr>
        <sz val="9"/>
        <rFont val="Verdana"/>
        <family val="2"/>
      </rPr>
      <t>090</t>
    </r>
  </si>
  <si>
    <r>
      <rPr>
        <b/>
        <sz val="11"/>
        <rFont val="Verdana"/>
        <family val="2"/>
      </rPr>
      <t xml:space="preserve">Opérations de financement sur titres </t>
    </r>
  </si>
  <si>
    <r>
      <rPr>
        <sz val="9"/>
        <rFont val="Verdana"/>
        <family val="2"/>
      </rPr>
      <t>100</t>
    </r>
  </si>
  <si>
    <r>
      <rPr>
        <i/>
        <sz val="11"/>
        <rFont val="Verdana"/>
        <family val="2"/>
      </rPr>
      <t>dont: faisant l'objet d'une compensation centrale par l'intermédiaire d'une QCCP</t>
    </r>
  </si>
  <si>
    <r>
      <rPr>
        <sz val="9"/>
        <rFont val="Verdana"/>
        <family val="2"/>
      </rPr>
      <t>110</t>
    </r>
  </si>
  <si>
    <r>
      <rPr>
        <b/>
        <sz val="11"/>
        <rFont val="Verdana"/>
        <family val="2"/>
      </rPr>
      <t>Dérivés et opérations à règlement différé</t>
    </r>
  </si>
  <si>
    <r>
      <rPr>
        <sz val="9"/>
        <rFont val="Verdana"/>
        <family val="2"/>
      </rPr>
      <t>120</t>
    </r>
  </si>
  <si>
    <r>
      <rPr>
        <i/>
        <sz val="11"/>
        <rFont val="Verdana"/>
        <family val="2"/>
      </rPr>
      <t>dont: faisant l'objet d'une compensation centrale par l'intermédiaire d'une QCCP</t>
    </r>
  </si>
  <si>
    <r>
      <rPr>
        <sz val="9"/>
        <rFont val="Verdana"/>
        <family val="2"/>
      </rPr>
      <t>130</t>
    </r>
  </si>
  <si>
    <r>
      <rPr>
        <b/>
        <sz val="11"/>
        <rFont val="Verdana"/>
        <family val="2"/>
      </rPr>
      <t>Issues d’une convention de compensation multiproduits</t>
    </r>
  </si>
  <si>
    <r>
      <rPr>
        <b/>
        <sz val="11"/>
        <rFont val="Verdana"/>
        <family val="2"/>
      </rPr>
      <t xml:space="preserve"> RÉPARTITION DU TOTAL DES EXPOSITIONS PAR PONDÉRATION:</t>
    </r>
  </si>
  <si>
    <r>
      <rPr>
        <b/>
        <sz val="11"/>
        <rFont val="Verdana"/>
        <family val="2"/>
      </rPr>
      <t>1 250 %</t>
    </r>
  </si>
  <si>
    <r>
      <rPr>
        <b/>
        <sz val="11"/>
        <rFont val="Verdana"/>
        <family val="2"/>
      </rPr>
      <t>Autres pondérations</t>
    </r>
  </si>
  <si>
    <r>
      <rPr>
        <b/>
        <sz val="11"/>
        <rFont val="Verdana"/>
        <family val="2"/>
      </rPr>
      <t>POUR MÉMOIRE</t>
    </r>
  </si>
  <si>
    <r>
      <rPr>
        <b/>
        <sz val="11"/>
        <rFont val="Verdana"/>
        <family val="2"/>
      </rPr>
      <t>Expositions garanties par une hypothèque sur un bien immobilier commercial</t>
    </r>
  </si>
  <si>
    <r>
      <rPr>
        <b/>
        <sz val="11"/>
        <rFont val="Verdana"/>
        <family val="2"/>
      </rPr>
      <t>Expositions en défaut soumises à une pondération de risque de 100 %</t>
    </r>
  </si>
  <si>
    <r>
      <rPr>
        <b/>
        <sz val="11"/>
        <rFont val="Verdana"/>
        <family val="2"/>
      </rPr>
      <t>Expositions garanties par une hypothèque sur un bien immobilier résidentiel</t>
    </r>
  </si>
  <si>
    <r>
      <rPr>
        <b/>
        <sz val="11"/>
        <rFont val="Verdana"/>
        <family val="2"/>
      </rPr>
      <t>Expositions en défaut soumises à une pondération de risque de 150 %</t>
    </r>
  </si>
  <si>
    <r>
      <rPr>
        <b/>
        <sz val="32"/>
        <rFont val="Verdana"/>
        <family val="2"/>
      </rPr>
      <t xml:space="preserve"> </t>
    </r>
  </si>
  <si>
    <r>
      <rPr>
        <b/>
        <sz val="32"/>
        <rFont val="Verdana"/>
        <family val="2"/>
      </rPr>
      <t xml:space="preserve"> C 08.01 - RISQUES DE CRÉDIT ET DE CRÉDIT DE CONTREPARTIE ET POSITIONS DE NÉGOCIATION NON DÉNOUÉES: APPROCHE NI DES EXIGENCES DE FONDS PROPRES (CR IRB 1)</t>
    </r>
  </si>
  <si>
    <r>
      <rPr>
        <b/>
        <sz val="32"/>
        <rFont val="Verdana"/>
        <family val="2"/>
      </rPr>
      <t xml:space="preserve"> C 08.01 - RISQUES DE CRÉDIT ET DE CRÉDIT DE CONTREPARTIE ET POSITIONS DE NÉGOCIATION NON DÉNOUÉES: APPROCHE NI DES EXIGENCES DE FONDS PROPRES (CR IRB 1)</t>
    </r>
  </si>
  <si>
    <r>
      <rPr>
        <b/>
        <sz val="20"/>
        <rFont val="Verdana"/>
        <family val="2"/>
      </rPr>
      <t>Catégorie d’expositions NI:</t>
    </r>
  </si>
  <si>
    <r>
      <rPr>
        <b/>
        <sz val="20"/>
        <rFont val="Verdana"/>
        <family val="2"/>
      </rPr>
      <t>Propres estimations des pertes en cas de défaut (LGD) et/ou facteurs de conversion:</t>
    </r>
  </si>
  <si>
    <r>
      <rPr>
        <b/>
        <sz val="16"/>
        <rFont val="Verdana"/>
        <family val="2"/>
      </rPr>
      <t>SYSTÈME DE NOTATION INTERNE</t>
    </r>
  </si>
  <si>
    <r>
      <rPr>
        <b/>
        <sz val="16"/>
        <rFont val="Verdana"/>
        <family val="2"/>
      </rPr>
      <t>EXPOSITION INITIALE AVANT APPLICATION DES FACTEURS DE CONVERSION</t>
    </r>
  </si>
  <si>
    <r>
      <rPr>
        <b/>
        <sz val="16"/>
        <rFont val="Verdana"/>
        <family val="2"/>
      </rPr>
      <t>TECHNIQUES D'ATTÉNUATION DU RISQUE DE CRÉDIT (ARC) AVEC EFFETS DE SUBSTITUTION SUR L'EXPOSITION</t>
    </r>
  </si>
  <si>
    <r>
      <rPr>
        <b/>
        <sz val="16"/>
        <rFont val="Verdana"/>
        <family val="2"/>
      </rPr>
      <t>EXPOSITION APRÈS EFFETS DE SUBSTITUTION ARC ET AVANT APPLICATION DES FACTEURS DE CONVERSION</t>
    </r>
  </si>
  <si>
    <r>
      <rPr>
        <b/>
        <sz val="16"/>
        <rFont val="Verdana"/>
        <family val="2"/>
      </rPr>
      <t>VALEUR EXPOSÉE AU RISQUE</t>
    </r>
  </si>
  <si>
    <r>
      <rPr>
        <b/>
        <sz val="16"/>
        <rFont val="Verdana"/>
        <family val="2"/>
      </rPr>
      <t>TECHNIQUES D’ATTÉNUATION DU RISQUE DE CRÉDIT PRISES EN COMPTE DANS LES ESTIMATIONS DE LGD HORS TRAITEMENT DES EFFETS DE DOUBLE DÉFAUT</t>
    </r>
  </si>
  <si>
    <r>
      <rPr>
        <b/>
        <sz val="16"/>
        <rFont val="Verdana"/>
        <family val="2"/>
      </rPr>
      <t>SOUMIS AU TRAITEMENT DES EFFETS DE DOUBLE DÉFAUT</t>
    </r>
  </si>
  <si>
    <r>
      <rPr>
        <b/>
        <sz val="16"/>
        <rFont val="Verdana"/>
        <family val="2"/>
      </rPr>
      <t>LGD MOYENNE, PONDÉRÉE (%)</t>
    </r>
  </si>
  <si>
    <r>
      <rPr>
        <b/>
        <sz val="16"/>
        <rFont val="Verdana"/>
        <family val="2"/>
      </rPr>
      <t>LGD MOYENNE, PONDÉRÉE (%) POUR ENTITÉS DU SECTEUR FINANCIER DE GRANDE TAILLE ET ENTITÉS DU SECTEUR FINANCIER NON RÉGLEMENTÉES</t>
    </r>
  </si>
  <si>
    <r>
      <rPr>
        <b/>
        <sz val="16"/>
        <rFont val="Verdana"/>
        <family val="2"/>
      </rPr>
      <t>VALEUR D’ÉCHÉANCE MOYENNE PONDÉRÉE (JOURS)</t>
    </r>
  </si>
  <si>
    <r>
      <rPr>
        <b/>
        <sz val="16"/>
        <rFont val="Verdana"/>
        <family val="2"/>
      </rPr>
      <t>MONTANT D'EXPOSITION PONDÉRÉ AVANT APPLICATION DU FACTEUR SUPPLÉTIF EN FAVEUR DES PME</t>
    </r>
  </si>
  <si>
    <r>
      <rPr>
        <b/>
        <sz val="16"/>
        <rFont val="Verdana"/>
        <family val="2"/>
      </rPr>
      <t>MONTANT D'EXPOSITION PONDÉRÉ APRÈS APPLICATION DU FACTEUR SUPPLÉTIF EN FAVEUR DES PME</t>
    </r>
  </si>
  <si>
    <r>
      <rPr>
        <b/>
        <sz val="16"/>
        <rFont val="Verdana"/>
        <family val="2"/>
      </rPr>
      <t>POUR MÉMOIRE:</t>
    </r>
  </si>
  <si>
    <r>
      <rPr>
        <b/>
        <sz val="16"/>
        <rFont val="Verdana"/>
        <family val="2"/>
      </rPr>
      <t>PROTECTION DE CRÉDIT NON FINANCÉE:</t>
    </r>
  </si>
  <si>
    <r>
      <rPr>
        <b/>
        <sz val="16"/>
        <rFont val="Verdana"/>
        <family val="2"/>
      </rPr>
      <t>(-) AUTRES FORMES DE PROTECTION DE CRÉDIT FINANCÉE</t>
    </r>
  </si>
  <si>
    <r>
      <rPr>
        <b/>
        <sz val="16"/>
        <rFont val="Verdana"/>
        <family val="2"/>
      </rPr>
      <t>SUBSTITUTION DE L’EXPOSITION DUE À L’ARC:</t>
    </r>
  </si>
  <si>
    <r>
      <rPr>
        <b/>
        <sz val="16"/>
        <rFont val="Verdana"/>
        <family val="2"/>
      </rPr>
      <t>UTILISATION DES PROPRES ESTIMATIONS DES PERTES EN CAS DE DÉFAUT (LGD):
PROTECTION DE CRÉDIT NON FINANCÉE:</t>
    </r>
  </si>
  <si>
    <r>
      <rPr>
        <b/>
        <sz val="16"/>
        <rFont val="Verdana"/>
        <family val="2"/>
      </rPr>
      <t>PROTECTION DE CRÉDIT FINANCÉE</t>
    </r>
  </si>
  <si>
    <r>
      <rPr>
        <b/>
        <sz val="16"/>
        <rFont val="Verdana"/>
        <family val="2"/>
      </rPr>
      <t>PROTECTION DE CRÉDIT NON FINANCÉE:</t>
    </r>
  </si>
  <si>
    <r>
      <rPr>
        <b/>
        <sz val="16"/>
        <rFont val="Verdana"/>
        <family val="2"/>
      </rPr>
      <t>MONTANT DES PERTES ANTICIPÉES</t>
    </r>
  </si>
  <si>
    <r>
      <rPr>
        <b/>
        <sz val="16"/>
        <rFont val="Verdana"/>
        <family val="2"/>
      </rPr>
      <t xml:space="preserve">(-) CORRECTIONS DE VALEUR ET PROVISIONS </t>
    </r>
  </si>
  <si>
    <r>
      <rPr>
        <b/>
        <sz val="16"/>
        <rFont val="Verdana"/>
        <family val="2"/>
      </rPr>
      <t>NOMBRE DE DÉBITEURS</t>
    </r>
  </si>
  <si>
    <r>
      <rPr>
        <b/>
        <sz val="16"/>
        <rFont val="Verdana"/>
        <family val="2"/>
      </rPr>
      <t>PROBABILITÉ DE DÉFAUT (PD) AFFECTÉE PAR ÉCHELON OU CATÉGORIE DE DÉBITEURS (%)
(%)</t>
    </r>
  </si>
  <si>
    <r>
      <rPr>
        <b/>
        <sz val="16"/>
        <rFont val="Verdana"/>
        <family val="2"/>
      </rPr>
      <t>DONT: ENTITÉS DU SECTEUR FINANCIER DE GRANDE TAILLE ET ENTITÉS DU SECTEUR FINANCIER NON RÉGLEMENTÉES</t>
    </r>
  </si>
  <si>
    <r>
      <rPr>
        <b/>
        <sz val="16"/>
        <rFont val="Verdana"/>
        <family val="2"/>
      </rPr>
      <t>(-) GARANTIES</t>
    </r>
  </si>
  <si>
    <r>
      <rPr>
        <b/>
        <sz val="16"/>
        <rFont val="Verdana"/>
        <family val="2"/>
      </rPr>
      <t>(-) DÉRIVÉS DE CRÉDIT</t>
    </r>
  </si>
  <si>
    <r>
      <rPr>
        <b/>
        <sz val="16"/>
        <rFont val="Verdana"/>
        <family val="2"/>
      </rPr>
      <t>(-) TOTAL SORTIES</t>
    </r>
  </si>
  <si>
    <r>
      <rPr>
        <b/>
        <sz val="16"/>
        <rFont val="Verdana"/>
        <family val="2"/>
      </rPr>
      <t>TOTAL ENTRÉES (+)</t>
    </r>
  </si>
  <si>
    <r>
      <rPr>
        <b/>
        <sz val="16"/>
        <rFont val="Verdana"/>
        <family val="2"/>
      </rPr>
      <t>DONT: ÉLÉMENTS DE HORS BILAN</t>
    </r>
  </si>
  <si>
    <r>
      <rPr>
        <b/>
        <sz val="16"/>
        <rFont val="Verdana"/>
        <family val="2"/>
      </rPr>
      <t>DONT: ÉLÉMENTS DE HORS BILAN</t>
    </r>
  </si>
  <si>
    <r>
      <rPr>
        <b/>
        <sz val="16"/>
        <rFont val="Verdana"/>
        <family val="2"/>
      </rPr>
      <t>DONT: RÉSULTANT DU RISQUE DE CRÉDIT DE CONTREPARTIE</t>
    </r>
  </si>
  <si>
    <r>
      <rPr>
        <b/>
        <sz val="16"/>
        <rFont val="Verdana"/>
        <family val="2"/>
      </rPr>
      <t>DONT: ENTITÉS DU SECTEUR FINANCIER DE GRANDE TAILLE ET ENTITÉS DU SECTEUR FINANCIER NON RÉGLEMENTÉES</t>
    </r>
  </si>
  <si>
    <r>
      <rPr>
        <b/>
        <sz val="16"/>
        <rFont val="Verdana"/>
        <family val="2"/>
      </rPr>
      <t>GARANTIES</t>
    </r>
  </si>
  <si>
    <r>
      <rPr>
        <b/>
        <sz val="16"/>
        <rFont val="Verdana"/>
        <family val="2"/>
      </rPr>
      <t>DÉRIVÉS DE CRÉDIT</t>
    </r>
  </si>
  <si>
    <r>
      <rPr>
        <b/>
        <sz val="16"/>
        <rFont val="Verdana"/>
        <family val="2"/>
      </rPr>
      <t>UTILISATION DES PROPRES ESTIMATIONS DES PERTES EN CAS DE DÉFAUT (LGD):
AUTRES FORMES DE PROTECTION DE CRÉDIT FINANCÉE</t>
    </r>
  </si>
  <si>
    <r>
      <rPr>
        <b/>
        <sz val="16"/>
        <rFont val="Verdana"/>
        <family val="2"/>
      </rPr>
      <t>SÛRETÉS FINANCIÈRES ÉLIGIBLES</t>
    </r>
  </si>
  <si>
    <r>
      <rPr>
        <b/>
        <sz val="16"/>
        <rFont val="Verdana"/>
        <family val="2"/>
      </rPr>
      <t>AUTRES SÛRETÉS ÉLIGIBLES</t>
    </r>
  </si>
  <si>
    <r>
      <rPr>
        <b/>
        <sz val="16"/>
        <rFont val="Verdana"/>
        <family val="2"/>
      </rPr>
      <t>DONT: ENTITÉS DU SECTEUR FINANCIER DE GRANDE TAILLE ET ENTITÉS DU SECTEUR FINANCIER NON RÉGLEMENTÉES</t>
    </r>
  </si>
  <si>
    <r>
      <rPr>
        <b/>
        <sz val="16"/>
        <rFont val="Verdana"/>
        <family val="2"/>
      </rPr>
      <t>BIENS IMMOBILIERS</t>
    </r>
  </si>
  <si>
    <r>
      <rPr>
        <b/>
        <sz val="16"/>
        <rFont val="Verdana"/>
        <family val="2"/>
      </rPr>
      <t xml:space="preserve">AUTRES SÛRETÉS RÉELLES </t>
    </r>
  </si>
  <si>
    <r>
      <rPr>
        <b/>
        <sz val="16"/>
        <rFont val="Verdana"/>
        <family val="2"/>
      </rPr>
      <t>CRÉANCES</t>
    </r>
  </si>
  <si>
    <r>
      <rPr>
        <b/>
        <sz val="16"/>
        <rFont val="Verdana"/>
        <family val="2"/>
      </rPr>
      <t>DONT: RÉSULTANT DU RISQUE DE CRÉDIT DE CONTREPARTIE</t>
    </r>
  </si>
  <si>
    <r>
      <rPr>
        <sz val="16"/>
        <rFont val="Verdana"/>
        <family val="2"/>
      </rPr>
      <t>010</t>
    </r>
  </si>
  <si>
    <r>
      <rPr>
        <sz val="16"/>
        <rFont val="Verdana"/>
        <family val="2"/>
      </rPr>
      <t>020</t>
    </r>
  </si>
  <si>
    <r>
      <rPr>
        <sz val="16"/>
        <rFont val="Verdana"/>
        <family val="2"/>
      </rPr>
      <t>030</t>
    </r>
  </si>
  <si>
    <r>
      <rPr>
        <sz val="16"/>
        <rFont val="Verdana"/>
        <family val="2"/>
      </rPr>
      <t>040</t>
    </r>
  </si>
  <si>
    <r>
      <rPr>
        <sz val="16"/>
        <rFont val="Verdana"/>
        <family val="2"/>
      </rPr>
      <t>050</t>
    </r>
  </si>
  <si>
    <r>
      <rPr>
        <sz val="16"/>
        <rFont val="Verdana"/>
        <family val="2"/>
      </rPr>
      <t>060</t>
    </r>
  </si>
  <si>
    <r>
      <rPr>
        <sz val="16"/>
        <rFont val="Verdana"/>
        <family val="2"/>
      </rPr>
      <t>070</t>
    </r>
  </si>
  <si>
    <r>
      <rPr>
        <sz val="16"/>
        <rFont val="Verdana"/>
        <family val="2"/>
      </rPr>
      <t>080</t>
    </r>
  </si>
  <si>
    <r>
      <rPr>
        <sz val="16"/>
        <rFont val="Verdana"/>
        <family val="2"/>
      </rPr>
      <t>090</t>
    </r>
  </si>
  <si>
    <r>
      <rPr>
        <sz val="16"/>
        <rFont val="Verdana"/>
        <family val="2"/>
      </rPr>
      <t>100</t>
    </r>
  </si>
  <si>
    <r>
      <rPr>
        <sz val="16"/>
        <rFont val="Verdana"/>
        <family val="2"/>
      </rPr>
      <t>110</t>
    </r>
  </si>
  <si>
    <r>
      <rPr>
        <sz val="16"/>
        <rFont val="Verdana"/>
        <family val="2"/>
      </rPr>
      <t>120</t>
    </r>
  </si>
  <si>
    <r>
      <rPr>
        <sz val="16"/>
        <rFont val="Verdana"/>
        <family val="2"/>
      </rPr>
      <t>130</t>
    </r>
  </si>
  <si>
    <r>
      <rPr>
        <sz val="18"/>
        <rFont val="Verdana"/>
        <family val="2"/>
      </rPr>
      <t>010</t>
    </r>
  </si>
  <si>
    <r>
      <rPr>
        <b/>
        <sz val="20"/>
        <rFont val="Verdana"/>
        <family val="2"/>
      </rPr>
      <t>TOTAL DES EXPOSITIONS</t>
    </r>
  </si>
  <si>
    <r>
      <rPr>
        <b/>
        <sz val="16"/>
        <rFont val="Verdana"/>
        <family val="2"/>
      </rPr>
      <t>Cellule liée à l'état CA</t>
    </r>
  </si>
  <si>
    <r>
      <rPr>
        <sz val="18"/>
        <rFont val="Verdana"/>
        <family val="2"/>
      </rPr>
      <t>015</t>
    </r>
  </si>
  <si>
    <r>
      <rPr>
        <b/>
        <sz val="20"/>
        <rFont val="Verdana"/>
        <family val="2"/>
      </rPr>
      <t>dont: Expositions soumises à l'application du facteur supplétif en faveur des PME</t>
    </r>
  </si>
  <si>
    <r>
      <rPr>
        <b/>
        <sz val="20"/>
        <rFont val="Verdana"/>
        <family val="2"/>
      </rPr>
      <t xml:space="preserve"> RÉPARTITION DU TOTAL DES EXPOSITIONS PAR TYPE D’EXPOSITION:</t>
    </r>
  </si>
  <si>
    <r>
      <rPr>
        <sz val="18"/>
        <rFont val="Verdana"/>
        <family val="2"/>
      </rPr>
      <t>020</t>
    </r>
  </si>
  <si>
    <r>
      <rPr>
        <b/>
        <sz val="20"/>
        <rFont val="Verdana"/>
        <family val="2"/>
      </rPr>
      <t>Éléments de bilan soumis au risque de crédit</t>
    </r>
  </si>
  <si>
    <r>
      <rPr>
        <sz val="18"/>
        <rFont val="Verdana"/>
        <family val="2"/>
      </rPr>
      <t>030</t>
    </r>
  </si>
  <si>
    <r>
      <rPr>
        <b/>
        <sz val="20"/>
        <rFont val="Verdana"/>
        <family val="2"/>
      </rPr>
      <t>Éléments de hors bilan soumis au risque de crédit</t>
    </r>
  </si>
  <si>
    <r>
      <rPr>
        <b/>
        <sz val="20"/>
        <rFont val="Verdana"/>
        <family val="2"/>
      </rPr>
      <t>Expositions/Opérations soumises au risque de crédit de contrepartie</t>
    </r>
  </si>
  <si>
    <r>
      <rPr>
        <sz val="18"/>
        <rFont val="Verdana"/>
        <family val="2"/>
      </rPr>
      <t>040</t>
    </r>
  </si>
  <si>
    <r>
      <rPr>
        <b/>
        <sz val="20"/>
        <rFont val="Verdana"/>
        <family val="2"/>
      </rPr>
      <t>Opérations de financement sur titres</t>
    </r>
  </si>
  <si>
    <r>
      <rPr>
        <sz val="18"/>
        <rFont val="Verdana"/>
        <family val="2"/>
      </rPr>
      <t>050</t>
    </r>
  </si>
  <si>
    <r>
      <rPr>
        <b/>
        <sz val="20"/>
        <rFont val="Verdana"/>
        <family val="2"/>
      </rPr>
      <t>Dérivés et opérations à règlement différé</t>
    </r>
  </si>
  <si>
    <r>
      <rPr>
        <sz val="18"/>
        <rFont val="Verdana"/>
        <family val="2"/>
      </rPr>
      <t>060</t>
    </r>
  </si>
  <si>
    <r>
      <rPr>
        <b/>
        <sz val="20"/>
        <rFont val="Verdana"/>
        <family val="2"/>
      </rPr>
      <t>Issues d’une convention de compensation multiproduits</t>
    </r>
  </si>
  <si>
    <r>
      <rPr>
        <sz val="18"/>
        <rFont val="Verdana"/>
        <family val="2"/>
      </rPr>
      <t>070</t>
    </r>
  </si>
  <si>
    <r>
      <rPr>
        <b/>
        <sz val="16"/>
        <rFont val="Verdana"/>
        <family val="2"/>
      </rPr>
      <t>EXPOSITIONS AFFECTÉES AUX ÉCHELONS OU CATÉGORIES DE DÉBITEURS: TOTAL</t>
    </r>
  </si>
  <si>
    <r>
      <rPr>
        <sz val="18"/>
        <rFont val="Verdana"/>
        <family val="2"/>
      </rPr>
      <t>080</t>
    </r>
  </si>
  <si>
    <r>
      <rPr>
        <b/>
        <sz val="16"/>
        <rFont val="Verdana"/>
        <family val="2"/>
      </rPr>
      <t>CRITÈRES DE RÉFÉRENCEMENT DES FINANCEMENTS SPÉCIALISÉS: TOTAL</t>
    </r>
  </si>
  <si>
    <r>
      <rPr>
        <b/>
        <sz val="20"/>
        <rFont val="Verdana"/>
        <family val="2"/>
      </rPr>
      <t>VENTILATION PAR PONDÉRATION DU RISQUE DE L’EXPOSITION TOTALE, SELON LES CRITÈRES DE RÉFÉRENCEMENT DES FINANCEMENTS SPÉCIALISÉS:</t>
    </r>
  </si>
  <si>
    <r>
      <rPr>
        <sz val="18"/>
        <rFont val="Verdana"/>
        <family val="2"/>
      </rPr>
      <t>090</t>
    </r>
  </si>
  <si>
    <r>
      <rPr>
        <b/>
        <sz val="16"/>
        <rFont val="Verdana"/>
        <family val="2"/>
      </rPr>
      <t>PONDÉRATION DE RISQUE: 0 %</t>
    </r>
  </si>
  <si>
    <r>
      <rPr>
        <sz val="18"/>
        <rFont val="Verdana"/>
        <family val="2"/>
      </rPr>
      <t>100</t>
    </r>
  </si>
  <si>
    <r>
      <rPr>
        <sz val="18"/>
        <rFont val="Verdana"/>
        <family val="2"/>
      </rPr>
      <t>110</t>
    </r>
  </si>
  <si>
    <r>
      <rPr>
        <sz val="18"/>
        <rFont val="Verdana"/>
        <family val="2"/>
      </rPr>
      <t>120</t>
    </r>
  </si>
  <si>
    <r>
      <rPr>
        <b/>
        <sz val="16"/>
        <rFont val="Verdana"/>
        <family val="2"/>
      </rPr>
      <t>Dont: en catégorie 1</t>
    </r>
  </si>
  <si>
    <r>
      <rPr>
        <sz val="18"/>
        <rFont val="Verdana"/>
        <family val="2"/>
      </rPr>
      <t>130</t>
    </r>
  </si>
  <si>
    <r>
      <rPr>
        <sz val="18"/>
        <rFont val="Verdana"/>
        <family val="2"/>
      </rPr>
      <t>140</t>
    </r>
  </si>
  <si>
    <r>
      <rPr>
        <sz val="18"/>
        <rFont val="Verdana"/>
        <family val="2"/>
      </rPr>
      <t>150</t>
    </r>
  </si>
  <si>
    <r>
      <rPr>
        <sz val="18"/>
        <rFont val="Verdana"/>
        <family val="2"/>
      </rPr>
      <t>160</t>
    </r>
  </si>
  <si>
    <r>
      <rPr>
        <b/>
        <sz val="16"/>
        <rFont val="Verdana"/>
        <family val="2"/>
      </rPr>
      <t>TRAITEMENT ALTERNATIF: GARANTI PAR UN BIEN IMMOBILIER</t>
    </r>
  </si>
  <si>
    <r>
      <rPr>
        <sz val="18"/>
        <rFont val="Verdana"/>
        <family val="2"/>
      </rPr>
      <t>170</t>
    </r>
  </si>
  <si>
    <r>
      <rPr>
        <b/>
        <sz val="16"/>
        <rFont val="Verdana"/>
        <family val="2"/>
      </rPr>
      <t>EXPOSITIONS DÉCOULANT DE POSITIONS DE NÉGOCIATION NON DÉNOUÉES AVEC APPLICATION DES PONDÉRATIONS DU RISQUE SELON LE TRAITEMENT ALTERNATIF OU D’UNE PONDÉRATION DE 100 % ET AUTRES EXPOSITIONS SOUMISES À PONDÉRATIONS</t>
    </r>
  </si>
  <si>
    <r>
      <rPr>
        <sz val="18"/>
        <rFont val="Verdana"/>
        <family val="2"/>
      </rPr>
      <t>180</t>
    </r>
  </si>
  <si>
    <r>
      <rPr>
        <b/>
        <sz val="16"/>
        <rFont val="Verdana"/>
        <family val="2"/>
      </rPr>
      <t>RISQUE DE DILUTION: TOTAL DES CRÉANCES ACHETÉES</t>
    </r>
  </si>
  <si>
    <r>
      <rPr>
        <b/>
        <sz val="36"/>
        <rFont val="Verdana"/>
        <family val="2"/>
      </rPr>
      <t xml:space="preserve"> C 08.02 - RISQUES DE CRÉDIT ET DE CRÉDIT DE CONTREPARTIE ET POSITIONS DE NÉGOCIATION NON DÉNOUÉES: APPROCHE NI DES EXIGENCES DE FONDS PROPRES RÉPARTITION PAR ÉCHELON OU CATÉGORIE DE DÉBITEURS (CR IRB 2)</t>
    </r>
  </si>
  <si>
    <r>
      <rPr>
        <b/>
        <sz val="36"/>
        <rFont val="Verdana"/>
        <family val="2"/>
      </rPr>
      <t xml:space="preserve"> C 08.02 - RISQUES DE CRÉDIT ET DE CRÉDIT DE CONTREPARTIE ET POSITIONS DE NÉGOCIATION NON DÉNOUÉES: APPROCHE NI DES EXIGENCES DE FONDS PROPRES RÉPARTITION PAR ÉCHELON OU CATÉGORIE DE DÉBITEURS (CR IRB 2)</t>
    </r>
  </si>
  <si>
    <r>
      <rPr>
        <b/>
        <sz val="20"/>
        <rFont val="Verdana"/>
        <family val="2"/>
      </rPr>
      <t>Catégorie d’expositions NI:</t>
    </r>
  </si>
  <si>
    <r>
      <rPr>
        <b/>
        <sz val="20"/>
        <rFont val="Verdana"/>
        <family val="2"/>
      </rPr>
      <t>Catégorie d’expositions NI:</t>
    </r>
  </si>
  <si>
    <r>
      <rPr>
        <b/>
        <sz val="20"/>
        <rFont val="Verdana"/>
        <family val="2"/>
      </rPr>
      <t>Propres estimations des pertes en cas de défaut (LGD) et/ou facteurs de conversion:</t>
    </r>
  </si>
  <si>
    <r>
      <rPr>
        <b/>
        <sz val="20"/>
        <rFont val="Verdana"/>
        <family val="2"/>
      </rPr>
      <t>Propres estimations des pertes en cas de défaut (LGD) et/ou facteurs de conversion:</t>
    </r>
  </si>
  <si>
    <r>
      <rPr>
        <b/>
        <sz val="16"/>
        <rFont val="Verdana"/>
        <family val="2"/>
      </rPr>
      <t>ÉCHELON DE DÉBITEUR (IDENTIFIANT DE LIGNE)</t>
    </r>
  </si>
  <si>
    <r>
      <rPr>
        <b/>
        <sz val="16"/>
        <rFont val="Verdana"/>
        <family val="2"/>
      </rPr>
      <t>SYSTÈME DE NOTATION INTERNE</t>
    </r>
  </si>
  <si>
    <r>
      <rPr>
        <b/>
        <sz val="16"/>
        <rFont val="Verdana"/>
        <family val="2"/>
      </rPr>
      <t>EXPOSITION INITIALE AVANT APPLICATION DES FACTEURS DE CONVERSION</t>
    </r>
  </si>
  <si>
    <r>
      <rPr>
        <b/>
        <sz val="16"/>
        <rFont val="Verdana"/>
        <family val="2"/>
      </rPr>
      <t>TECHNIQUES D'ATTÉNUATION DU RISQUE DE CRÉDIT (ARC) AVEC EFFETS DE SUBSTITUTION SUR L'EXPOSITION</t>
    </r>
  </si>
  <si>
    <r>
      <rPr>
        <b/>
        <sz val="16"/>
        <rFont val="Verdana"/>
        <family val="2"/>
      </rPr>
      <t>EXPOSITION APRÈS EFFETS DE SUBSTITUTION ARC ET AVANT APPLICATION DES FACTEURS DE CONVERSION</t>
    </r>
  </si>
  <si>
    <r>
      <rPr>
        <b/>
        <sz val="16"/>
        <rFont val="Verdana"/>
        <family val="2"/>
      </rPr>
      <t>VALEUR EXPOSÉE AU RISQUE</t>
    </r>
  </si>
  <si>
    <r>
      <rPr>
        <b/>
        <sz val="16"/>
        <rFont val="Verdana"/>
        <family val="2"/>
      </rPr>
      <t>TECHNIQUES D’ATTÉNUATION DU RISQUE DE CRÉDIT PRISES EN COMPTE DANS LES ESTIMATIONS DE LGD HORS TRAITEMENT DES EFFETS DE DOUBLE DÉFAUT</t>
    </r>
  </si>
  <si>
    <r>
      <rPr>
        <b/>
        <sz val="16"/>
        <rFont val="Verdana"/>
        <family val="2"/>
      </rPr>
      <t>SOUMIS AU TRAITEMENT DES EFFETS DE DOUBLE DÉFAUT</t>
    </r>
  </si>
  <si>
    <r>
      <rPr>
        <b/>
        <sz val="16"/>
        <rFont val="Verdana"/>
        <family val="2"/>
      </rPr>
      <t>LGD MOYENNE, PONDÉRÉE (%)</t>
    </r>
  </si>
  <si>
    <r>
      <rPr>
        <b/>
        <sz val="16"/>
        <rFont val="Verdana"/>
        <family val="2"/>
      </rPr>
      <t>LGD MOYENNE, PONDÉRÉE (%) POUR ENTITÉS DU SECTEUR FINANCIER DE GRANDE TAILLE ET ENTITÉS DU SECTEUR FINANCIER NON RÉGLEMENTÉES</t>
    </r>
  </si>
  <si>
    <r>
      <rPr>
        <b/>
        <sz val="16"/>
        <rFont val="Verdana"/>
        <family val="2"/>
      </rPr>
      <t>VALEUR D’ÉCHÉANCE MOYENNE PONDÉRÉE (JOURS)</t>
    </r>
  </si>
  <si>
    <r>
      <rPr>
        <b/>
        <sz val="16"/>
        <rFont val="Verdana"/>
        <family val="2"/>
      </rPr>
      <t>MONTANT D'EXPOSITION PONDÉRÉ AVANT APPLICATION DU FACTEUR PME</t>
    </r>
  </si>
  <si>
    <r>
      <rPr>
        <b/>
        <sz val="16"/>
        <rFont val="Verdana"/>
        <family val="2"/>
      </rPr>
      <t>MONTANT D'EXPOSITION PONDÉRÉ APRÈS APPLICATION DU FACTEUR PME</t>
    </r>
  </si>
  <si>
    <r>
      <rPr>
        <b/>
        <sz val="16"/>
        <rFont val="Verdana"/>
        <family val="2"/>
      </rPr>
      <t>POUR MÉMOIRE:</t>
    </r>
  </si>
  <si>
    <r>
      <rPr>
        <b/>
        <sz val="16"/>
        <rFont val="Verdana"/>
        <family val="2"/>
      </rPr>
      <t>PROTECTION DE CRÉDIT NON FINANCÉE:</t>
    </r>
  </si>
  <si>
    <r>
      <rPr>
        <b/>
        <sz val="16"/>
        <rFont val="Verdana"/>
        <family val="2"/>
      </rPr>
      <t>(-) AUTRES FORMES DE PROTECTION DE CRÉDIT FINANCÉE</t>
    </r>
  </si>
  <si>
    <r>
      <rPr>
        <b/>
        <sz val="16"/>
        <rFont val="Verdana"/>
        <family val="2"/>
      </rPr>
      <t>SUBSTITUTION DE L’EXPOSITION DUE À L’ARC:</t>
    </r>
  </si>
  <si>
    <r>
      <rPr>
        <b/>
        <sz val="16"/>
        <rFont val="Verdana"/>
        <family val="2"/>
      </rPr>
      <t>UTILISATION DES PROPRES ESTIMATIONS DES PERTES EN CAS DE DÉFAUT (LGD):
PROTECTION DE CRÉDIT NON FINANCÉE:</t>
    </r>
  </si>
  <si>
    <r>
      <rPr>
        <b/>
        <sz val="16"/>
        <rFont val="Verdana"/>
        <family val="2"/>
      </rPr>
      <t>PROTECTION DE CRÉDIT FINANCÉE</t>
    </r>
  </si>
  <si>
    <r>
      <rPr>
        <b/>
        <sz val="16"/>
        <rFont val="Verdana"/>
        <family val="2"/>
      </rPr>
      <t>PROTECTION DE CRÉDIT NON FINANCÉE:</t>
    </r>
  </si>
  <si>
    <r>
      <rPr>
        <b/>
        <sz val="16"/>
        <rFont val="Verdana"/>
        <family val="2"/>
      </rPr>
      <t>MONTANT DES PERTES ANTICIPÉES</t>
    </r>
  </si>
  <si>
    <r>
      <rPr>
        <b/>
        <sz val="16"/>
        <rFont val="Verdana"/>
        <family val="2"/>
      </rPr>
      <t>(-) CORRECTIONS DE VALEUR ET PROVISIONS</t>
    </r>
  </si>
  <si>
    <r>
      <rPr>
        <b/>
        <sz val="16"/>
        <rFont val="Verdana"/>
        <family val="2"/>
      </rPr>
      <t>NOMBRE DE DÉBITEURS</t>
    </r>
  </si>
  <si>
    <r>
      <rPr>
        <b/>
        <sz val="16"/>
        <rFont val="Verdana"/>
        <family val="2"/>
      </rPr>
      <t>PROBABILITÉ DE DÉFAUT (PD) AFFECTÉE PAR ÉCHELON OU CATÉGORIE DE DÉBITEURS (%)
(%)</t>
    </r>
  </si>
  <si>
    <r>
      <rPr>
        <b/>
        <sz val="16"/>
        <rFont val="Verdana"/>
        <family val="2"/>
      </rPr>
      <t>DONT: ENTITÉS DU SECTEUR FINANCIER DE GRANDE TAILLE ET ENTITÉS DU SECTEUR FINANCIER NON RÉGLEMENTÉES</t>
    </r>
  </si>
  <si>
    <r>
      <rPr>
        <b/>
        <sz val="16"/>
        <rFont val="Verdana"/>
        <family val="2"/>
      </rPr>
      <t>(-) GARANTIES</t>
    </r>
  </si>
  <si>
    <r>
      <rPr>
        <b/>
        <sz val="16"/>
        <rFont val="Verdana"/>
        <family val="2"/>
      </rPr>
      <t>(-) DÉRIVÉS DE CRÉDIT</t>
    </r>
  </si>
  <si>
    <r>
      <rPr>
        <b/>
        <sz val="16"/>
        <rFont val="Verdana"/>
        <family val="2"/>
      </rPr>
      <t>(-) TOTAL SORTIES</t>
    </r>
  </si>
  <si>
    <r>
      <rPr>
        <b/>
        <sz val="16"/>
        <rFont val="Verdana"/>
        <family val="2"/>
      </rPr>
      <t>TOTAL ENTRÉES (+)</t>
    </r>
  </si>
  <si>
    <r>
      <rPr>
        <b/>
        <sz val="16"/>
        <rFont val="Verdana"/>
        <family val="2"/>
      </rPr>
      <t>DONT: ÉLÉMENTS DE HORS BILAN</t>
    </r>
  </si>
  <si>
    <r>
      <rPr>
        <b/>
        <sz val="16"/>
        <rFont val="Verdana"/>
        <family val="2"/>
      </rPr>
      <t>DONT: ÉLÉMENTS DE HORS BILAN</t>
    </r>
  </si>
  <si>
    <r>
      <rPr>
        <b/>
        <sz val="16"/>
        <rFont val="Verdana"/>
        <family val="2"/>
      </rPr>
      <t>DONT: RÉSULTANT DU RISQUE DE CRÉDIT DE CONTREPARTIE</t>
    </r>
  </si>
  <si>
    <r>
      <rPr>
        <b/>
        <sz val="16"/>
        <rFont val="Verdana"/>
        <family val="2"/>
      </rPr>
      <t>DONT: ENTITÉS DU SECTEUR FINANCIER DE GRANDE TAILLE ET ENTITÉS DU SECTEUR FINANCIER NON RÉGLEMENTÉES</t>
    </r>
  </si>
  <si>
    <r>
      <rPr>
        <b/>
        <sz val="16"/>
        <rFont val="Verdana"/>
        <family val="2"/>
      </rPr>
      <t>GARANTIES</t>
    </r>
  </si>
  <si>
    <r>
      <rPr>
        <b/>
        <sz val="16"/>
        <rFont val="Verdana"/>
        <family val="2"/>
      </rPr>
      <t>DÉRIVÉS DE CRÉDIT</t>
    </r>
  </si>
  <si>
    <r>
      <rPr>
        <b/>
        <sz val="16"/>
        <rFont val="Verdana"/>
        <family val="2"/>
      </rPr>
      <t>UTILISATION DES PROPRES ESTIMATIONS DES PERTES EN CAS DE DÉFAUT (LGD):
AUTRES FORMES DE PROTECTION DE CRÉDIT FINANCÉE</t>
    </r>
  </si>
  <si>
    <r>
      <rPr>
        <b/>
        <sz val="16"/>
        <rFont val="Verdana"/>
        <family val="2"/>
      </rPr>
      <t>SÛRETÉS FINANCIÈRES ÉLIGIBLES</t>
    </r>
  </si>
  <si>
    <r>
      <rPr>
        <b/>
        <sz val="16"/>
        <rFont val="Verdana"/>
        <family val="2"/>
      </rPr>
      <t>AUTRES SÛRETÉS ÉLIGIBLES</t>
    </r>
  </si>
  <si>
    <r>
      <rPr>
        <b/>
        <sz val="16"/>
        <rFont val="Verdana"/>
        <family val="2"/>
      </rPr>
      <t>DONT: ENTITÉS DU SECTEUR FINANCIER DE GRANDE TAILLE ET ENTITÉS DU SECTEUR FINANCIER NON RÉGLEMENTÉES</t>
    </r>
  </si>
  <si>
    <r>
      <rPr>
        <b/>
        <sz val="16"/>
        <rFont val="Verdana"/>
        <family val="2"/>
      </rPr>
      <t>BIENS IMMOBILIERS</t>
    </r>
  </si>
  <si>
    <r>
      <rPr>
        <b/>
        <sz val="16"/>
        <rFont val="Verdana"/>
        <family val="2"/>
      </rPr>
      <t xml:space="preserve">AUTRES SÛRETÉS RÉELLES </t>
    </r>
  </si>
  <si>
    <r>
      <rPr>
        <b/>
        <sz val="16"/>
        <rFont val="Verdana"/>
        <family val="2"/>
      </rPr>
      <t>CRÉANCES</t>
    </r>
  </si>
  <si>
    <r>
      <rPr>
        <b/>
        <sz val="16"/>
        <rFont val="Verdana"/>
        <family val="2"/>
      </rPr>
      <t>DONT: RÉSULTANT DU RISQUE DE CRÉDIT DE CONTREPARTIE</t>
    </r>
  </si>
  <si>
    <r>
      <rPr>
        <sz val="16"/>
        <rFont val="Verdana"/>
        <family val="2"/>
      </rPr>
      <t>005</t>
    </r>
  </si>
  <si>
    <r>
      <rPr>
        <sz val="16"/>
        <rFont val="Verdana"/>
        <family val="2"/>
      </rPr>
      <t>010</t>
    </r>
  </si>
  <si>
    <r>
      <rPr>
        <sz val="16"/>
        <rFont val="Verdana"/>
        <family val="2"/>
      </rPr>
      <t>020</t>
    </r>
  </si>
  <si>
    <r>
      <rPr>
        <sz val="16"/>
        <rFont val="Verdana"/>
        <family val="2"/>
      </rPr>
      <t>030</t>
    </r>
  </si>
  <si>
    <r>
      <rPr>
        <sz val="16"/>
        <rFont val="Verdana"/>
        <family val="2"/>
      </rPr>
      <t>040</t>
    </r>
  </si>
  <si>
    <r>
      <rPr>
        <sz val="16"/>
        <rFont val="Verdana"/>
        <family val="2"/>
      </rPr>
      <t>050</t>
    </r>
  </si>
  <si>
    <r>
      <rPr>
        <sz val="16"/>
        <rFont val="Verdana"/>
        <family val="2"/>
      </rPr>
      <t>060</t>
    </r>
  </si>
  <si>
    <r>
      <rPr>
        <sz val="16"/>
        <rFont val="Verdana"/>
        <family val="2"/>
      </rPr>
      <t>070</t>
    </r>
  </si>
  <si>
    <r>
      <rPr>
        <sz val="16"/>
        <rFont val="Verdana"/>
        <family val="2"/>
      </rPr>
      <t>080</t>
    </r>
  </si>
  <si>
    <r>
      <rPr>
        <sz val="16"/>
        <rFont val="Verdana"/>
        <family val="2"/>
      </rPr>
      <t>090</t>
    </r>
  </si>
  <si>
    <r>
      <rPr>
        <sz val="16"/>
        <rFont val="Verdana"/>
        <family val="2"/>
      </rPr>
      <t>100</t>
    </r>
  </si>
  <si>
    <r>
      <rPr>
        <sz val="16"/>
        <rFont val="Verdana"/>
        <family val="2"/>
      </rPr>
      <t>110</t>
    </r>
  </si>
  <si>
    <r>
      <rPr>
        <sz val="16"/>
        <rFont val="Verdana"/>
        <family val="2"/>
      </rPr>
      <t>120</t>
    </r>
  </si>
  <si>
    <r>
      <rPr>
        <sz val="16"/>
        <rFont val="Verdana"/>
        <family val="2"/>
      </rPr>
      <t>130</t>
    </r>
  </si>
  <si>
    <r>
      <rPr>
        <b/>
        <sz val="14"/>
        <rFont val="Verdana"/>
        <family val="2"/>
      </rPr>
      <t>C 09.01 — RÉPARTITION GÉOGRAPHIQUE DES EXPOSITIONS PAR PAYS DE RÉSIDENCE DU DÉBITEUR: EXPOSITIONS EN APPROCHE STANDARD (CR GB 1)</t>
    </r>
  </si>
  <si>
    <r>
      <rPr>
        <b/>
        <sz val="8"/>
        <rFont val="Verdana"/>
        <family val="2"/>
      </rPr>
      <t xml:space="preserve">Pays: </t>
    </r>
  </si>
  <si>
    <r>
      <rPr>
        <b/>
        <sz val="9"/>
        <rFont val="Verdana"/>
        <family val="2"/>
      </rPr>
      <t>EXPOSITION INITIALE AVANT APPLICATION DES FACTEURS DE CONVERSION</t>
    </r>
  </si>
  <si>
    <r>
      <rPr>
        <b/>
        <sz val="9"/>
        <rFont val="Verdana"/>
        <family val="2"/>
      </rPr>
      <t>Expositions en défaut</t>
    </r>
  </si>
  <si>
    <r>
      <rPr>
        <b/>
        <sz val="9"/>
        <rFont val="Verdana"/>
        <family val="2"/>
      </rPr>
      <t>Nouveaux défauts observés sur la période</t>
    </r>
  </si>
  <si>
    <r>
      <rPr>
        <b/>
        <sz val="9"/>
        <rFont val="Verdana"/>
        <family val="2"/>
      </rPr>
      <t>Ajustements pour risque de crédit général</t>
    </r>
  </si>
  <si>
    <r>
      <rPr>
        <b/>
        <sz val="9"/>
        <rFont val="Verdana"/>
        <family val="2"/>
      </rPr>
      <t>Ajustements pour risque de crédit spécifique</t>
    </r>
  </si>
  <si>
    <r>
      <rPr>
        <b/>
        <sz val="9"/>
        <rFont val="Verdana"/>
        <family val="2"/>
      </rPr>
      <t>Dont: sorties du bilan</t>
    </r>
  </si>
  <si>
    <r>
      <rPr>
        <b/>
        <sz val="9"/>
        <rFont val="Verdana"/>
        <family val="2"/>
      </rPr>
      <t>Ajustements pour risque de crédit/radiation de crédits pour nouveaux défauts observés</t>
    </r>
  </si>
  <si>
    <r>
      <rPr>
        <b/>
        <sz val="9"/>
        <rFont val="Verdana"/>
        <family val="2"/>
      </rPr>
      <t>VALEUR EXPOSÉE AU RISQUE</t>
    </r>
  </si>
  <si>
    <r>
      <rPr>
        <b/>
        <sz val="9"/>
        <rFont val="Verdana"/>
        <family val="2"/>
      </rPr>
      <t>MONTANT D'EXPOSITION PONDÉRÉ AVANT APPLICATION DU FACTEUR SUPPLÉTIF EN FAVEUR DES PME</t>
    </r>
  </si>
  <si>
    <r>
      <rPr>
        <b/>
        <sz val="9"/>
        <rFont val="Verdana"/>
        <family val="2"/>
      </rPr>
      <t>MONTANT D'EXPOSITION PONDÉRÉ APRÈS APPLICATION DU FACTEUR SUPPLÉTIF EN FAVEUR DES PME</t>
    </r>
  </si>
  <si>
    <r>
      <rPr>
        <sz val="8"/>
        <rFont val="Verdana"/>
        <family val="2"/>
      </rPr>
      <t>010</t>
    </r>
  </si>
  <si>
    <r>
      <rPr>
        <sz val="8"/>
        <rFont val="Verdana"/>
        <family val="2"/>
      </rPr>
      <t>020</t>
    </r>
  </si>
  <si>
    <r>
      <rPr>
        <sz val="8"/>
        <rFont val="Verdana"/>
        <family val="2"/>
      </rPr>
      <t>040</t>
    </r>
  </si>
  <si>
    <r>
      <rPr>
        <sz val="8"/>
        <rFont val="Verdana"/>
        <family val="2"/>
      </rPr>
      <t>050</t>
    </r>
  </si>
  <si>
    <r>
      <rPr>
        <sz val="8"/>
        <rFont val="Verdana"/>
        <family val="2"/>
      </rPr>
      <t>055</t>
    </r>
  </si>
  <si>
    <r>
      <rPr>
        <sz val="8"/>
        <rFont val="Verdana"/>
        <family val="2"/>
      </rPr>
      <t>060</t>
    </r>
  </si>
  <si>
    <r>
      <rPr>
        <sz val="8"/>
        <rFont val="Verdana"/>
        <family val="2"/>
      </rPr>
      <t>070</t>
    </r>
  </si>
  <si>
    <r>
      <rPr>
        <sz val="8"/>
        <rFont val="Verdana"/>
        <family val="2"/>
      </rPr>
      <t>075</t>
    </r>
  </si>
  <si>
    <r>
      <rPr>
        <sz val="8"/>
        <rFont val="Verdana"/>
        <family val="2"/>
      </rPr>
      <t>080</t>
    </r>
  </si>
  <si>
    <r>
      <rPr>
        <sz val="8"/>
        <rFont val="Verdana"/>
        <family val="2"/>
      </rPr>
      <t>090</t>
    </r>
  </si>
  <si>
    <r>
      <rPr>
        <sz val="8"/>
        <rFont val="Verdana"/>
        <family val="2"/>
      </rPr>
      <t>010</t>
    </r>
  </si>
  <si>
    <r>
      <rPr>
        <sz val="9"/>
        <rFont val="Verdana"/>
        <family val="2"/>
      </rPr>
      <t>Administrations centrales ou banques centrales</t>
    </r>
  </si>
  <si>
    <r>
      <rPr>
        <sz val="8"/>
        <rFont val="Verdana"/>
        <family val="2"/>
      </rPr>
      <t>020</t>
    </r>
  </si>
  <si>
    <r>
      <rPr>
        <sz val="9"/>
        <rFont val="Verdana"/>
        <family val="2"/>
      </rPr>
      <t xml:space="preserve">Administrations régionales ou locales </t>
    </r>
  </si>
  <si>
    <r>
      <rPr>
        <sz val="8"/>
        <rFont val="Verdana"/>
        <family val="2"/>
      </rPr>
      <t>030</t>
    </r>
  </si>
  <si>
    <r>
      <rPr>
        <sz val="9"/>
        <rFont val="Verdana"/>
        <family val="2"/>
      </rPr>
      <t>Entités du secteur public</t>
    </r>
  </si>
  <si>
    <r>
      <rPr>
        <sz val="8"/>
        <rFont val="Verdana"/>
        <family val="2"/>
      </rPr>
      <t>040</t>
    </r>
  </si>
  <si>
    <r>
      <rPr>
        <sz val="9"/>
        <rFont val="Verdana"/>
        <family val="2"/>
      </rPr>
      <t xml:space="preserve">Banques multilatérales de développement </t>
    </r>
  </si>
  <si>
    <r>
      <rPr>
        <sz val="8"/>
        <rFont val="Verdana"/>
        <family val="2"/>
      </rPr>
      <t>050</t>
    </r>
  </si>
  <si>
    <r>
      <rPr>
        <sz val="9"/>
        <rFont val="Verdana"/>
        <family val="2"/>
      </rPr>
      <t>Organisations internationales</t>
    </r>
  </si>
  <si>
    <r>
      <rPr>
        <sz val="8"/>
        <rFont val="Verdana"/>
        <family val="2"/>
      </rPr>
      <t>060</t>
    </r>
  </si>
  <si>
    <r>
      <rPr>
        <sz val="9"/>
        <rFont val="Verdana"/>
        <family val="2"/>
      </rPr>
      <t>Établissements</t>
    </r>
  </si>
  <si>
    <r>
      <rPr>
        <sz val="8"/>
        <rFont val="Verdana"/>
        <family val="2"/>
      </rPr>
      <t>070</t>
    </r>
  </si>
  <si>
    <r>
      <rPr>
        <sz val="9"/>
        <rFont val="Verdana"/>
        <family val="2"/>
      </rPr>
      <t xml:space="preserve">Entreprises </t>
    </r>
  </si>
  <si>
    <r>
      <rPr>
        <sz val="8"/>
        <rFont val="Verdana"/>
        <family val="2"/>
      </rPr>
      <t>075</t>
    </r>
  </si>
  <si>
    <r>
      <rPr>
        <sz val="9"/>
        <rFont val="Verdana"/>
        <family val="2"/>
      </rPr>
      <t>dont: PME</t>
    </r>
  </si>
  <si>
    <r>
      <rPr>
        <sz val="8"/>
        <rFont val="Verdana"/>
        <family val="2"/>
      </rPr>
      <t>080</t>
    </r>
  </si>
  <si>
    <r>
      <rPr>
        <sz val="9"/>
        <rFont val="Verdana"/>
        <family val="2"/>
      </rPr>
      <t>Clientèle de détail</t>
    </r>
  </si>
  <si>
    <r>
      <rPr>
        <sz val="8"/>
        <rFont val="Verdana"/>
        <family val="2"/>
      </rPr>
      <t>085</t>
    </r>
  </si>
  <si>
    <r>
      <rPr>
        <sz val="9"/>
        <rFont val="Verdana"/>
        <family val="2"/>
      </rPr>
      <t>dont: PME</t>
    </r>
  </si>
  <si>
    <r>
      <rPr>
        <sz val="8"/>
        <rFont val="Verdana"/>
        <family val="2"/>
      </rPr>
      <t xml:space="preserve"> </t>
    </r>
  </si>
  <si>
    <r>
      <rPr>
        <sz val="8"/>
        <rFont val="Verdana"/>
        <family val="2"/>
      </rPr>
      <t>090</t>
    </r>
  </si>
  <si>
    <r>
      <rPr>
        <sz val="9"/>
        <rFont val="Verdana"/>
        <family val="2"/>
      </rPr>
      <t>Expositions garanties par une hypothèque sur un bien immobilier</t>
    </r>
  </si>
  <si>
    <r>
      <rPr>
        <sz val="8"/>
        <rFont val="Verdana"/>
        <family val="2"/>
      </rPr>
      <t>095</t>
    </r>
  </si>
  <si>
    <r>
      <rPr>
        <sz val="9"/>
        <rFont val="Verdana"/>
        <family val="2"/>
      </rPr>
      <t>dont: PME</t>
    </r>
  </si>
  <si>
    <r>
      <rPr>
        <sz val="8"/>
        <rFont val="Verdana"/>
        <family val="2"/>
      </rPr>
      <t>100</t>
    </r>
  </si>
  <si>
    <r>
      <rPr>
        <sz val="9"/>
        <rFont val="Verdana"/>
        <family val="2"/>
      </rPr>
      <t>Expositions en défaut</t>
    </r>
  </si>
  <si>
    <r>
      <rPr>
        <sz val="8"/>
        <rFont val="Verdana"/>
        <family val="2"/>
      </rPr>
      <t>110</t>
    </r>
  </si>
  <si>
    <r>
      <rPr>
        <sz val="9"/>
        <rFont val="Verdana"/>
        <family val="2"/>
      </rPr>
      <t>Éléments présentant un risque particulièrement élevé</t>
    </r>
  </si>
  <si>
    <r>
      <rPr>
        <sz val="8"/>
        <rFont val="Verdana"/>
        <family val="2"/>
      </rPr>
      <t>120</t>
    </r>
  </si>
  <si>
    <r>
      <rPr>
        <sz val="9"/>
        <rFont val="Verdana"/>
        <family val="2"/>
      </rPr>
      <t>Obligations garanties</t>
    </r>
  </si>
  <si>
    <r>
      <rPr>
        <sz val="8"/>
        <rFont val="Verdana"/>
        <family val="2"/>
      </rPr>
      <t>130</t>
    </r>
  </si>
  <si>
    <r>
      <rPr>
        <sz val="9"/>
        <rFont val="Verdana"/>
        <family val="2"/>
      </rPr>
      <t>Créances sur des établissements et des entreprises faisant l'objet d'une évaluation du crédit à court terme</t>
    </r>
  </si>
  <si>
    <r>
      <rPr>
        <sz val="8"/>
        <rFont val="Verdana"/>
        <family val="2"/>
      </rPr>
      <t>140</t>
    </r>
  </si>
  <si>
    <r>
      <rPr>
        <sz val="9"/>
        <rFont val="Verdana"/>
        <family val="2"/>
      </rPr>
      <t>Organismes de placement collectif (OPC)</t>
    </r>
  </si>
  <si>
    <r>
      <rPr>
        <sz val="8"/>
        <rFont val="Verdana"/>
        <family val="2"/>
      </rPr>
      <t>150</t>
    </r>
  </si>
  <si>
    <r>
      <rPr>
        <sz val="9"/>
        <rFont val="Verdana"/>
        <family val="2"/>
      </rPr>
      <t>Expositions sous forme d’actions</t>
    </r>
  </si>
  <si>
    <r>
      <rPr>
        <sz val="8"/>
        <rFont val="Verdana"/>
        <family val="2"/>
      </rPr>
      <t>160</t>
    </r>
  </si>
  <si>
    <r>
      <rPr>
        <sz val="9"/>
        <rFont val="Verdana"/>
        <family val="2"/>
      </rPr>
      <t>Autres expositions</t>
    </r>
  </si>
  <si>
    <r>
      <rPr>
        <b/>
        <sz val="9"/>
        <rFont val="Verdana"/>
        <family val="2"/>
      </rPr>
      <t>Total des expositions</t>
    </r>
  </si>
  <si>
    <r>
      <rPr>
        <b/>
        <sz val="14"/>
        <rFont val="Verdana"/>
        <family val="2"/>
      </rPr>
      <t>C 09.02 - RÉPARTITION GÉOGRAPHIQUE DES EXPOSITIONS PAR PAYS DE RÉSIDENCE DU DÉBITEUR: EXPOSITIONS EN APPROCHE NI (CR GB 2)</t>
    </r>
  </si>
  <si>
    <r>
      <rPr>
        <b/>
        <sz val="8"/>
        <rFont val="Verdana"/>
        <family val="2"/>
      </rPr>
      <t xml:space="preserve">Pays: </t>
    </r>
  </si>
  <si>
    <r>
      <rPr>
        <b/>
        <sz val="9"/>
        <rFont val="Verdana"/>
        <family val="2"/>
      </rPr>
      <t>EXPOSITION INITIALE AVANT APPLICATION DES FACTEURS DE CONVERSION</t>
    </r>
  </si>
  <si>
    <r>
      <rPr>
        <b/>
        <sz val="9"/>
        <rFont val="Verdana"/>
        <family val="2"/>
      </rPr>
      <t>Dont: en défaut</t>
    </r>
  </si>
  <si>
    <r>
      <rPr>
        <b/>
        <sz val="9"/>
        <rFont val="Verdana"/>
        <family val="2"/>
      </rPr>
      <t>Nouveaux défauts observés sur la période</t>
    </r>
  </si>
  <si>
    <r>
      <rPr>
        <b/>
        <sz val="9"/>
        <rFont val="Verdana"/>
        <family val="2"/>
      </rPr>
      <t>Ajustements pour risque de crédit général</t>
    </r>
  </si>
  <si>
    <r>
      <rPr>
        <b/>
        <sz val="9"/>
        <rFont val="Verdana"/>
        <family val="2"/>
      </rPr>
      <t>Ajustements pour risque de crédit spécifique</t>
    </r>
  </si>
  <si>
    <r>
      <rPr>
        <b/>
        <sz val="9"/>
        <rFont val="Verdana"/>
        <family val="2"/>
      </rPr>
      <t>Dont: sorties du bilan</t>
    </r>
  </si>
  <si>
    <r>
      <rPr>
        <b/>
        <sz val="9"/>
        <rFont val="Verdana"/>
        <family val="2"/>
      </rPr>
      <t>Ajustements pour risque de crédit/radiation de crédits pour nouveaux défauts observés</t>
    </r>
  </si>
  <si>
    <r>
      <rPr>
        <b/>
        <sz val="9"/>
        <rFont val="Verdana"/>
        <family val="2"/>
      </rPr>
      <t>PROBABILITÉ DE DÉFAUT (PD) AFFECTÉE PAR ÉCHELON OU CATÉGORIE DE DÉBITEURS (%)
(%)</t>
    </r>
  </si>
  <si>
    <r>
      <rPr>
        <b/>
        <sz val="9"/>
        <rFont val="Verdana"/>
        <family val="2"/>
      </rPr>
      <t>LGD MOYENNE, PONDÉRÉE (%)</t>
    </r>
  </si>
  <si>
    <r>
      <rPr>
        <b/>
        <sz val="9"/>
        <rFont val="Verdana"/>
        <family val="2"/>
      </rPr>
      <t>Dont: en défaut</t>
    </r>
  </si>
  <si>
    <r>
      <rPr>
        <b/>
        <sz val="9"/>
        <rFont val="Verdana"/>
        <family val="2"/>
      </rPr>
      <t>VALEUR EXPOSÉE AU RISQUE</t>
    </r>
  </si>
  <si>
    <r>
      <rPr>
        <b/>
        <sz val="9"/>
        <rFont val="Verdana"/>
        <family val="2"/>
      </rPr>
      <t>MONTANT D'EXPOSITION PONDÉRÉ AVANT APPLICATION DU FACTEUR SUPPLÉTIF EN FAVEUR DES PME</t>
    </r>
  </si>
  <si>
    <r>
      <rPr>
        <b/>
        <sz val="9"/>
        <rFont val="Verdana"/>
        <family val="2"/>
      </rPr>
      <t>Dont: en défaut</t>
    </r>
  </si>
  <si>
    <r>
      <rPr>
        <b/>
        <sz val="9"/>
        <rFont val="Verdana"/>
        <family val="2"/>
      </rPr>
      <t>MONTANT D'EXPOSITION PONDÉRÉ APRÈS APPLICATION DU FACTEUR SUPPLÉTIF EN FAVEUR DES PME</t>
    </r>
  </si>
  <si>
    <r>
      <rPr>
        <b/>
        <sz val="9"/>
        <rFont val="Verdana"/>
        <family val="2"/>
      </rPr>
      <t>MONTANT DES PERTES ANTICIPÉES</t>
    </r>
  </si>
  <si>
    <r>
      <rPr>
        <sz val="8"/>
        <rFont val="Verdana"/>
        <family val="2"/>
      </rPr>
      <t>010</t>
    </r>
  </si>
  <si>
    <r>
      <rPr>
        <sz val="8"/>
        <rFont val="Verdana"/>
        <family val="2"/>
      </rPr>
      <t>030</t>
    </r>
  </si>
  <si>
    <r>
      <rPr>
        <sz val="8"/>
        <rFont val="Verdana"/>
        <family val="2"/>
      </rPr>
      <t>040</t>
    </r>
  </si>
  <si>
    <r>
      <rPr>
        <sz val="8"/>
        <rFont val="Verdana"/>
        <family val="2"/>
      </rPr>
      <t>050</t>
    </r>
  </si>
  <si>
    <r>
      <rPr>
        <sz val="8"/>
        <rFont val="Verdana"/>
        <family val="2"/>
      </rPr>
      <t>055</t>
    </r>
  </si>
  <si>
    <r>
      <rPr>
        <sz val="8"/>
        <rFont val="Verdana"/>
        <family val="2"/>
      </rPr>
      <t>060</t>
    </r>
  </si>
  <si>
    <r>
      <rPr>
        <sz val="8"/>
        <rFont val="Verdana"/>
        <family val="2"/>
      </rPr>
      <t>070</t>
    </r>
  </si>
  <si>
    <r>
      <rPr>
        <sz val="8"/>
        <rFont val="Verdana"/>
        <family val="2"/>
      </rPr>
      <t>080</t>
    </r>
  </si>
  <si>
    <r>
      <rPr>
        <sz val="8"/>
        <rFont val="Verdana"/>
        <family val="2"/>
      </rPr>
      <t>090</t>
    </r>
  </si>
  <si>
    <r>
      <rPr>
        <sz val="8"/>
        <rFont val="Verdana"/>
        <family val="2"/>
      </rPr>
      <t>100</t>
    </r>
  </si>
  <si>
    <r>
      <rPr>
        <sz val="8"/>
        <rFont val="Verdana"/>
        <family val="2"/>
      </rPr>
      <t>105</t>
    </r>
  </si>
  <si>
    <r>
      <rPr>
        <sz val="8"/>
        <rFont val="Verdana"/>
        <family val="2"/>
      </rPr>
      <t>110</t>
    </r>
  </si>
  <si>
    <r>
      <rPr>
        <sz val="8"/>
        <rFont val="Verdana"/>
        <family val="2"/>
      </rPr>
      <t>120</t>
    </r>
  </si>
  <si>
    <r>
      <rPr>
        <sz val="8"/>
        <rFont val="Verdana"/>
        <family val="2"/>
      </rPr>
      <t>130</t>
    </r>
  </si>
  <si>
    <r>
      <rPr>
        <sz val="8"/>
        <rFont val="Verdana"/>
        <family val="2"/>
      </rPr>
      <t>010</t>
    </r>
  </si>
  <si>
    <r>
      <rPr>
        <sz val="9"/>
        <rFont val="Verdana"/>
        <family val="2"/>
      </rPr>
      <t>Administrations centrales ou banques centrales</t>
    </r>
  </si>
  <si>
    <r>
      <rPr>
        <sz val="8"/>
        <rFont val="Verdana"/>
        <family val="2"/>
      </rPr>
      <t>020</t>
    </r>
  </si>
  <si>
    <r>
      <rPr>
        <sz val="9"/>
        <rFont val="Verdana"/>
        <family val="2"/>
      </rPr>
      <t>Établissements</t>
    </r>
  </si>
  <si>
    <r>
      <rPr>
        <sz val="8"/>
        <rFont val="Verdana"/>
        <family val="2"/>
      </rPr>
      <t>030</t>
    </r>
  </si>
  <si>
    <r>
      <rPr>
        <sz val="9"/>
        <rFont val="Verdana"/>
        <family val="2"/>
      </rPr>
      <t>Entreprises</t>
    </r>
  </si>
  <si>
    <r>
      <rPr>
        <sz val="8"/>
        <rFont val="Verdana"/>
        <family val="2"/>
      </rPr>
      <t>040</t>
    </r>
  </si>
  <si>
    <r>
      <rPr>
        <sz val="9"/>
        <rFont val="Verdana"/>
        <family val="2"/>
      </rPr>
      <t>Dont: Financement spécialisé</t>
    </r>
  </si>
  <si>
    <r>
      <rPr>
        <sz val="8"/>
        <rFont val="Verdana"/>
        <family val="2"/>
      </rPr>
      <t>042</t>
    </r>
  </si>
  <si>
    <r>
      <rPr>
        <sz val="9"/>
        <rFont val="Verdana"/>
        <family val="2"/>
      </rPr>
      <t>Dont: Financement spécialisé
(sauf FS soumis à des critères de référencement)</t>
    </r>
  </si>
  <si>
    <r>
      <rPr>
        <sz val="8"/>
        <rFont val="Verdana"/>
        <family val="2"/>
      </rPr>
      <t>045</t>
    </r>
  </si>
  <si>
    <r>
      <rPr>
        <sz val="9"/>
        <rFont val="Verdana"/>
        <family val="2"/>
      </rPr>
      <t>Dont: Financement spécialisé
soumis à des critères de référencement</t>
    </r>
  </si>
  <si>
    <r>
      <rPr>
        <sz val="8"/>
        <rFont val="Verdana"/>
        <family val="2"/>
      </rPr>
      <t>050</t>
    </r>
  </si>
  <si>
    <r>
      <rPr>
        <sz val="9"/>
        <rFont val="Verdana"/>
        <family val="2"/>
      </rPr>
      <t>Dont: PME</t>
    </r>
  </si>
  <si>
    <r>
      <rPr>
        <sz val="8"/>
        <rFont val="Verdana"/>
        <family val="2"/>
      </rPr>
      <t>060</t>
    </r>
  </si>
  <si>
    <r>
      <rPr>
        <sz val="9"/>
        <rFont val="Verdana"/>
        <family val="2"/>
      </rPr>
      <t>Clientèle de détail</t>
    </r>
  </si>
  <si>
    <r>
      <rPr>
        <sz val="8"/>
        <rFont val="Verdana"/>
        <family val="2"/>
      </rPr>
      <t>070</t>
    </r>
  </si>
  <si>
    <r>
      <rPr>
        <sz val="9"/>
        <rFont val="Verdana"/>
        <family val="2"/>
      </rPr>
      <t>Garanti par un bien immobilier</t>
    </r>
  </si>
  <si>
    <r>
      <rPr>
        <sz val="8"/>
        <rFont val="Verdana"/>
        <family val="2"/>
      </rPr>
      <t>080</t>
    </r>
  </si>
  <si>
    <r>
      <rPr>
        <sz val="9"/>
        <rFont val="Verdana"/>
        <family val="2"/>
      </rPr>
      <t>PME</t>
    </r>
  </si>
  <si>
    <r>
      <rPr>
        <sz val="8"/>
        <rFont val="Verdana"/>
        <family val="2"/>
      </rPr>
      <t>090</t>
    </r>
  </si>
  <si>
    <r>
      <rPr>
        <sz val="9"/>
        <rFont val="Verdana"/>
        <family val="2"/>
      </rPr>
      <t>Non-PME</t>
    </r>
  </si>
  <si>
    <r>
      <rPr>
        <sz val="8"/>
        <rFont val="Verdana"/>
        <family val="2"/>
      </rPr>
      <t>100</t>
    </r>
  </si>
  <si>
    <r>
      <rPr>
        <sz val="9"/>
        <rFont val="Verdana"/>
        <family val="2"/>
      </rPr>
      <t>Expositions renouvelables éligibles</t>
    </r>
  </si>
  <si>
    <r>
      <rPr>
        <sz val="8"/>
        <rFont val="Verdana"/>
        <family val="2"/>
      </rPr>
      <t>110</t>
    </r>
  </si>
  <si>
    <r>
      <rPr>
        <sz val="9"/>
        <rFont val="Verdana"/>
        <family val="2"/>
      </rPr>
      <t>Autre clientèle de détail</t>
    </r>
  </si>
  <si>
    <r>
      <rPr>
        <sz val="8"/>
        <rFont val="Verdana"/>
        <family val="2"/>
      </rPr>
      <t>120</t>
    </r>
  </si>
  <si>
    <r>
      <rPr>
        <sz val="9"/>
        <rFont val="Verdana"/>
        <family val="2"/>
      </rPr>
      <t>PME</t>
    </r>
  </si>
  <si>
    <r>
      <rPr>
        <sz val="8"/>
        <rFont val="Verdana"/>
        <family val="2"/>
      </rPr>
      <t>130</t>
    </r>
  </si>
  <si>
    <r>
      <rPr>
        <sz val="9"/>
        <rFont val="Verdana"/>
        <family val="2"/>
      </rPr>
      <t>Non-PME</t>
    </r>
  </si>
  <si>
    <r>
      <rPr>
        <sz val="8"/>
        <rFont val="Verdana"/>
        <family val="2"/>
      </rPr>
      <t>140</t>
    </r>
  </si>
  <si>
    <r>
      <rPr>
        <sz val="9"/>
        <rFont val="Verdana"/>
        <family val="2"/>
      </rPr>
      <t>Actions</t>
    </r>
  </si>
  <si>
    <r>
      <rPr>
        <b/>
        <sz val="9"/>
        <rFont val="Verdana"/>
        <family val="2"/>
      </rPr>
      <t>Total des expositions</t>
    </r>
  </si>
  <si>
    <r>
      <rPr>
        <b/>
        <sz val="14"/>
        <rFont val="Verdana"/>
        <family val="2"/>
      </rPr>
      <t>C 09.04 — RÉPARTITION DES EXPOSITIONS DE CRÉDIT PERTINENTES POUR LE CALCUL DU COUSSIN CONTRACYCLIQUE PAR PAYS ET DU TAUX DE COUSSIN CONTRACYCLIQUE SPÉCIFIQUE À L’ÉTABLISSEMENT (CCB)</t>
    </r>
  </si>
  <si>
    <r>
      <rPr>
        <b/>
        <sz val="8"/>
        <rFont val="Verdana"/>
        <family val="2"/>
      </rPr>
      <t xml:space="preserve">Pays: </t>
    </r>
  </si>
  <si>
    <r>
      <rPr>
        <b/>
        <sz val="9"/>
        <rFont val="Verdana"/>
        <family val="2"/>
      </rPr>
      <t>Montant</t>
    </r>
  </si>
  <si>
    <r>
      <rPr>
        <b/>
        <sz val="9"/>
        <rFont val="Verdana"/>
        <family val="2"/>
      </rPr>
      <t>Pourcentage</t>
    </r>
  </si>
  <si>
    <r>
      <rPr>
        <b/>
        <sz val="9"/>
        <rFont val="Verdana"/>
        <family val="2"/>
      </rPr>
      <t>Informations qualitatives</t>
    </r>
  </si>
  <si>
    <r>
      <rPr>
        <sz val="8"/>
        <rFont val="Verdana"/>
        <family val="2"/>
      </rPr>
      <t>010</t>
    </r>
  </si>
  <si>
    <r>
      <rPr>
        <sz val="8"/>
        <rFont val="Verdana"/>
        <family val="2"/>
      </rPr>
      <t>020</t>
    </r>
  </si>
  <si>
    <r>
      <rPr>
        <sz val="8"/>
        <rFont val="Verdana"/>
        <family val="2"/>
      </rPr>
      <t>030</t>
    </r>
  </si>
  <si>
    <r>
      <rPr>
        <b/>
        <sz val="9"/>
        <rFont val="Verdana"/>
        <family val="2"/>
      </rPr>
      <t>Expositions de crédit pertinentes – risque de crédit</t>
    </r>
  </si>
  <si>
    <r>
      <rPr>
        <sz val="8"/>
        <rFont val="Verdana"/>
        <family val="2"/>
      </rPr>
      <t>010</t>
    </r>
  </si>
  <si>
    <r>
      <rPr>
        <sz val="8"/>
        <rFont val="Verdana"/>
        <family val="2"/>
      </rPr>
      <t>Valeur exposée au risque selon l’approche standard</t>
    </r>
  </si>
  <si>
    <r>
      <rPr>
        <sz val="8"/>
        <rFont val="Verdana"/>
        <family val="2"/>
      </rPr>
      <t>020</t>
    </r>
  </si>
  <si>
    <r>
      <rPr>
        <sz val="8"/>
        <rFont val="Verdana"/>
        <family val="2"/>
      </rPr>
      <t>Valeur exposée au risque selon l’approche NI</t>
    </r>
  </si>
  <si>
    <r>
      <rPr>
        <b/>
        <sz val="9"/>
        <rFont val="Verdana"/>
        <family val="2"/>
      </rPr>
      <t>Expositions de crédit pertinentes — risque de marché</t>
    </r>
  </si>
  <si>
    <r>
      <rPr>
        <sz val="8"/>
        <rFont val="Verdana"/>
        <family val="2"/>
      </rPr>
      <t>030</t>
    </r>
  </si>
  <si>
    <r>
      <rPr>
        <sz val="8"/>
        <rFont val="Verdana"/>
        <family val="2"/>
      </rPr>
      <t>Somme des positions longues et courtes des expositions du portefeuille de négociation pour les approches standard</t>
    </r>
  </si>
  <si>
    <r>
      <rPr>
        <sz val="8"/>
        <rFont val="Verdana"/>
        <family val="2"/>
      </rPr>
      <t>040</t>
    </r>
  </si>
  <si>
    <r>
      <rPr>
        <sz val="8"/>
        <rFont val="Verdana"/>
        <family val="2"/>
      </rPr>
      <t>Valeur des expositions du portefeuille de négociation pour les modèles internes</t>
    </r>
  </si>
  <si>
    <r>
      <rPr>
        <b/>
        <sz val="9"/>
        <rFont val="Verdana"/>
        <family val="2"/>
      </rPr>
      <t>Expositions de crédit pertinentes – titrisations</t>
    </r>
  </si>
  <si>
    <r>
      <rPr>
        <sz val="8"/>
        <rFont val="Verdana"/>
        <family val="2"/>
      </rPr>
      <t>050</t>
    </r>
  </si>
  <si>
    <r>
      <rPr>
        <sz val="8"/>
        <rFont val="Verdana"/>
        <family val="2"/>
      </rPr>
      <t>Valeur exposée au risque des positions de titrisation dans le portefeuille d’intermédiation bancaire selon l’approche standard</t>
    </r>
  </si>
  <si>
    <r>
      <rPr>
        <sz val="8"/>
        <rFont val="Verdana"/>
        <family val="2"/>
      </rPr>
      <t>060</t>
    </r>
  </si>
  <si>
    <r>
      <rPr>
        <sz val="8"/>
        <rFont val="Verdana"/>
        <family val="2"/>
      </rPr>
      <t>Valeur exposée au risque des positions de titrisation dans le portefeuille d’intermédiation bancaire selon l’approche NI</t>
    </r>
  </si>
  <si>
    <r>
      <rPr>
        <b/>
        <sz val="9"/>
        <rFont val="Verdana"/>
        <family val="2"/>
      </rPr>
      <t>Exigences et pondérations de fonds propres</t>
    </r>
  </si>
  <si>
    <r>
      <rPr>
        <sz val="8"/>
        <rFont val="Verdana"/>
        <family val="2"/>
      </rPr>
      <t>070</t>
    </r>
  </si>
  <si>
    <r>
      <rPr>
        <sz val="8"/>
        <rFont val="Verdana"/>
        <family val="2"/>
      </rPr>
      <t>Total des exigences de fonds propres pour le CCB</t>
    </r>
  </si>
  <si>
    <r>
      <rPr>
        <sz val="8"/>
        <rFont val="Verdana"/>
        <family val="2"/>
      </rPr>
      <t>080</t>
    </r>
  </si>
  <si>
    <r>
      <rPr>
        <sz val="8"/>
        <rFont val="Verdana"/>
        <family val="2"/>
      </rPr>
      <t xml:space="preserve">Exigences de fonds propres pour les expositions de crédit pertinentes — risque de crédit </t>
    </r>
  </si>
  <si>
    <r>
      <rPr>
        <sz val="8"/>
        <rFont val="Verdana"/>
        <family val="2"/>
      </rPr>
      <t>090</t>
    </r>
  </si>
  <si>
    <r>
      <rPr>
        <sz val="8"/>
        <rFont val="Verdana"/>
        <family val="2"/>
      </rPr>
      <t>Exigences de fonds propres pour les expositions de crédit pertinentes — risque de marché</t>
    </r>
  </si>
  <si>
    <r>
      <rPr>
        <sz val="8"/>
        <rFont val="Verdana"/>
        <family val="2"/>
      </rPr>
      <t>100</t>
    </r>
  </si>
  <si>
    <r>
      <rPr>
        <sz val="8"/>
        <rFont val="Verdana"/>
        <family val="2"/>
      </rPr>
      <t>Exigences de fonds propres pour les expositions de crédit pertinentes — positions de titrisation dans le portefeuille d’intermédiation bancaire</t>
    </r>
  </si>
  <si>
    <r>
      <rPr>
        <sz val="8"/>
        <rFont val="Verdana"/>
        <family val="2"/>
      </rPr>
      <t>110</t>
    </r>
  </si>
  <si>
    <r>
      <rPr>
        <sz val="8"/>
        <rFont val="Verdana"/>
        <family val="2"/>
      </rPr>
      <t>Pondérations des exigences de fonds propres</t>
    </r>
  </si>
  <si>
    <r>
      <rPr>
        <b/>
        <sz val="9"/>
        <rFont val="Verdana"/>
        <family val="2"/>
      </rPr>
      <t>Taux de coussin de fonds propres contracyclique</t>
    </r>
  </si>
  <si>
    <r>
      <rPr>
        <sz val="8"/>
        <rFont val="Verdana"/>
        <family val="2"/>
      </rPr>
      <t>120</t>
    </r>
  </si>
  <si>
    <r>
      <rPr>
        <sz val="8"/>
        <rFont val="Verdana"/>
        <family val="2"/>
      </rPr>
      <t>Taux de coussin de fonds propres contracyclique fixé par l’autorité désignée</t>
    </r>
  </si>
  <si>
    <r>
      <rPr>
        <sz val="8"/>
        <rFont val="Verdana"/>
        <family val="2"/>
      </rPr>
      <t>130</t>
    </r>
  </si>
  <si>
    <r>
      <rPr>
        <sz val="8"/>
        <rFont val="Verdana"/>
        <family val="2"/>
      </rPr>
      <t>Taux de coussin de fonds propres contracyclique applicable dans le pays de l’établissement</t>
    </r>
  </si>
  <si>
    <r>
      <rPr>
        <sz val="8"/>
        <rFont val="Verdana"/>
        <family val="2"/>
      </rPr>
      <t>Taux de coussin de fonds propres contracyclique spécifique à l’établissement</t>
    </r>
  </si>
  <si>
    <r>
      <rPr>
        <b/>
        <sz val="9"/>
        <rFont val="Verdana"/>
        <family val="2"/>
      </rPr>
      <t>Utilisation du seuil de 2 %</t>
    </r>
  </si>
  <si>
    <r>
      <rPr>
        <sz val="8"/>
        <rFont val="Verdana"/>
        <family val="2"/>
      </rPr>
      <t>Utilisation du seuil de 2 % pour exposition générale de crédit</t>
    </r>
  </si>
  <si>
    <r>
      <rPr>
        <sz val="8"/>
        <rFont val="Verdana"/>
        <family val="2"/>
      </rPr>
      <t>Utilisation du seuil de 2 % pour expositions relevant du portefeuille de négociation</t>
    </r>
  </si>
  <si>
    <r>
      <rPr>
        <b/>
        <sz val="22"/>
        <color rgb="FF000000"/>
        <rFont val="Verdana"/>
        <family val="2"/>
      </rPr>
      <t>C 10.01 - RISQUE DE CRÉDIT: ACTIONS - APPROCHES NI DES EXIGENCES DE FONDS PROPRES (CR EQU IRB 1)</t>
    </r>
  </si>
  <si>
    <r>
      <rPr>
        <b/>
        <sz val="14"/>
        <rFont val="Verdana"/>
        <family val="2"/>
      </rPr>
      <t>SYSTÈME DE NOTATION INTERNE</t>
    </r>
  </si>
  <si>
    <r>
      <rPr>
        <b/>
        <sz val="14"/>
        <rFont val="Verdana"/>
        <family val="2"/>
      </rPr>
      <t>EXPOSITION INITIALE AVANT APPLICATION DES FACTEURS DE CONVERSION</t>
    </r>
  </si>
  <si>
    <r>
      <rPr>
        <b/>
        <sz val="14"/>
        <rFont val="Verdana"/>
        <family val="2"/>
      </rPr>
      <t>TECHNIQUES D'ATTÉNUATION DU RISQUE DE CRÉDIT (ARC) AVEC EFFETS DE SUBSTITUTION SUR L'EXPOSITION</t>
    </r>
  </si>
  <si>
    <r>
      <rPr>
        <b/>
        <sz val="14"/>
        <rFont val="Verdana"/>
        <family val="2"/>
      </rPr>
      <t>VALEUR EXPOSÉE AU RISQUE</t>
    </r>
  </si>
  <si>
    <r>
      <rPr>
        <b/>
        <sz val="14"/>
        <rFont val="Verdana"/>
        <family val="2"/>
      </rPr>
      <t>LGD MOYENNE, PONDÉRÉE (%)
(%)</t>
    </r>
  </si>
  <si>
    <r>
      <rPr>
        <b/>
        <sz val="14"/>
        <rFont val="Verdana"/>
        <family val="2"/>
      </rPr>
      <t>MONTANT D’EXPOSITION PONDÉRÉ</t>
    </r>
  </si>
  <si>
    <r>
      <rPr>
        <b/>
        <sz val="14"/>
        <rFont val="Verdana"/>
        <family val="2"/>
      </rPr>
      <t>POUR MÉMOIRE:</t>
    </r>
  </si>
  <si>
    <r>
      <rPr>
        <b/>
        <sz val="14"/>
        <rFont val="Verdana"/>
        <family val="2"/>
      </rPr>
      <t>PROTECTION DE CRÉDIT NON FINANCÉE:</t>
    </r>
  </si>
  <si>
    <r>
      <rPr>
        <b/>
        <sz val="14"/>
        <rFont val="Verdana"/>
        <family val="2"/>
      </rPr>
      <t>SUBSTITUTION DE L’EXPOSITION DUE À L’ARC:</t>
    </r>
  </si>
  <si>
    <r>
      <rPr>
        <b/>
        <sz val="14"/>
        <rFont val="Verdana"/>
        <family val="2"/>
      </rPr>
      <t>MONTANT DES PERTES ANTICIPÉES</t>
    </r>
  </si>
  <si>
    <r>
      <rPr>
        <b/>
        <sz val="14"/>
        <rFont val="Verdana"/>
        <family val="2"/>
      </rPr>
      <t>PD AFFECTÉE À L'ÉCHELON DE DÉBITEUR
(%)</t>
    </r>
  </si>
  <si>
    <r>
      <rPr>
        <b/>
        <sz val="14"/>
        <rFont val="Verdana"/>
        <family val="2"/>
      </rPr>
      <t>(-) GARANTIES</t>
    </r>
  </si>
  <si>
    <r>
      <rPr>
        <b/>
        <sz val="14"/>
        <rFont val="Verdana"/>
        <family val="2"/>
      </rPr>
      <t>(-) DÉRIVÉS DE CRÉDIT</t>
    </r>
  </si>
  <si>
    <r>
      <rPr>
        <b/>
        <sz val="14"/>
        <rFont val="Verdana"/>
        <family val="2"/>
      </rPr>
      <t>(-) TOTAL SORTIES</t>
    </r>
  </si>
  <si>
    <r>
      <rPr>
        <sz val="14"/>
        <rFont val="Verdana"/>
        <family val="2"/>
      </rPr>
      <t>010</t>
    </r>
  </si>
  <si>
    <r>
      <rPr>
        <sz val="14"/>
        <rFont val="Verdana"/>
        <family val="2"/>
      </rPr>
      <t>020</t>
    </r>
  </si>
  <si>
    <r>
      <rPr>
        <sz val="14"/>
        <rFont val="Verdana"/>
        <family val="2"/>
      </rPr>
      <t>030</t>
    </r>
  </si>
  <si>
    <r>
      <rPr>
        <sz val="14"/>
        <rFont val="Verdana"/>
        <family val="2"/>
      </rPr>
      <t>040</t>
    </r>
  </si>
  <si>
    <r>
      <rPr>
        <sz val="14"/>
        <rFont val="Verdana"/>
        <family val="2"/>
      </rPr>
      <t>050</t>
    </r>
  </si>
  <si>
    <r>
      <rPr>
        <sz val="14"/>
        <rFont val="Verdana"/>
        <family val="2"/>
      </rPr>
      <t>060</t>
    </r>
  </si>
  <si>
    <r>
      <rPr>
        <sz val="14"/>
        <rFont val="Verdana"/>
        <family val="2"/>
      </rPr>
      <t>070</t>
    </r>
  </si>
  <si>
    <r>
      <rPr>
        <sz val="14"/>
        <rFont val="Verdana"/>
        <family val="2"/>
      </rPr>
      <t>080</t>
    </r>
  </si>
  <si>
    <r>
      <rPr>
        <sz val="14"/>
        <rFont val="Verdana"/>
        <family val="2"/>
      </rPr>
      <t>090</t>
    </r>
  </si>
  <si>
    <r>
      <rPr>
        <sz val="14"/>
        <color rgb="FF000000"/>
        <rFont val="Verdana"/>
        <family val="2"/>
      </rPr>
      <t>010</t>
    </r>
  </si>
  <si>
    <r>
      <rPr>
        <b/>
        <sz val="14"/>
        <rFont val="Verdana"/>
        <family val="2"/>
      </rPr>
      <t>EXPOSITIONS TOTALES SOUS FORME D'ACTIONS EN APPROCHE NI</t>
    </r>
  </si>
  <si>
    <r>
      <rPr>
        <sz val="14"/>
        <rFont val="Verdana"/>
        <family val="2"/>
      </rPr>
      <t>Cellule liée à l'état CA</t>
    </r>
  </si>
  <si>
    <r>
      <rPr>
        <sz val="14"/>
        <color rgb="FF000000"/>
        <rFont val="Verdana"/>
        <family val="2"/>
      </rPr>
      <t>020</t>
    </r>
  </si>
  <si>
    <r>
      <rPr>
        <b/>
        <sz val="14"/>
        <rFont val="Verdana"/>
        <family val="2"/>
      </rPr>
      <t xml:space="preserve">MÉTHODE PD/LGD: TOTAL </t>
    </r>
  </si>
  <si>
    <r>
      <rPr>
        <sz val="14"/>
        <color rgb="FF000000"/>
        <rFont val="Verdana"/>
        <family val="2"/>
      </rPr>
      <t>050</t>
    </r>
  </si>
  <si>
    <r>
      <rPr>
        <b/>
        <sz val="14"/>
        <rFont val="Verdana"/>
        <family val="2"/>
      </rPr>
      <t>MÉTHODE DE PONDÉRATION SIMPLE: TOTAL</t>
    </r>
  </si>
  <si>
    <r>
      <rPr>
        <sz val="14"/>
        <color rgb="FF000000"/>
        <rFont val="Verdana"/>
        <family val="2"/>
      </rPr>
      <t>060</t>
    </r>
  </si>
  <si>
    <r>
      <rPr>
        <b/>
        <sz val="14"/>
        <rFont val="Verdana"/>
        <family val="2"/>
      </rPr>
      <t>RÉPARTITION DES EXPOSITIONS TOTALES PAR PONDÉRATION SELON LA MÉTHODE DE PONDÉRATION SIMPLE</t>
    </r>
  </si>
  <si>
    <r>
      <rPr>
        <sz val="14"/>
        <color rgb="FF000000"/>
        <rFont val="Verdana"/>
        <family val="2"/>
      </rPr>
      <t>070</t>
    </r>
  </si>
  <si>
    <r>
      <rPr>
        <sz val="14"/>
        <rFont val="Verdana"/>
        <family val="2"/>
      </rPr>
      <t>PONDÉRATION DE RISQUE: 190 %</t>
    </r>
  </si>
  <si>
    <r>
      <rPr>
        <sz val="14"/>
        <color rgb="FF000000"/>
        <rFont val="Verdana"/>
        <family val="2"/>
      </rPr>
      <t>080</t>
    </r>
  </si>
  <si>
    <r>
      <rPr>
        <sz val="14"/>
        <color rgb="FF000000"/>
        <rFont val="Verdana"/>
        <family val="2"/>
      </rPr>
      <t>090</t>
    </r>
  </si>
  <si>
    <r>
      <rPr>
        <sz val="14"/>
        <color rgb="FF000000"/>
        <rFont val="Verdana"/>
        <family val="2"/>
      </rPr>
      <t>100</t>
    </r>
  </si>
  <si>
    <r>
      <rPr>
        <b/>
        <sz val="14"/>
        <rFont val="Verdana"/>
        <family val="2"/>
      </rPr>
      <t>APPROCHE FONDÉE SUR LES MODÈLES INTERNES</t>
    </r>
  </si>
  <si>
    <r>
      <rPr>
        <b/>
        <sz val="14"/>
        <rFont val="Verdana"/>
        <family val="2"/>
      </rPr>
      <t>EXPOSITIONS SOUS FORME D'ACTIONS FAISANT L’OBJET DE PONDÉRATIONS</t>
    </r>
  </si>
  <si>
    <r>
      <rPr>
        <b/>
        <sz val="20"/>
        <color rgb="FF000000"/>
        <rFont val="Verdana"/>
        <family val="2"/>
      </rPr>
      <t>C 10.02 - RISQUE DE CRÉDIT: ACTIONS - APPROCHES NI DES EXIGENCES DE FONDS PROPRES RÉPARTITION DES EXPOSITIONS TOTALES SELON LA MÉTHODE PD/LGD PAR ÉCHELON DE DÉBITEUR (CR EQU IRB 2)</t>
    </r>
  </si>
  <si>
    <r>
      <rPr>
        <b/>
        <sz val="14"/>
        <rFont val="Verdana"/>
        <family val="2"/>
      </rPr>
      <t>ÉCHELON DE DÉBITEUR
(IDENTIFIANT DE LIGNE)</t>
    </r>
  </si>
  <si>
    <r>
      <rPr>
        <b/>
        <sz val="14"/>
        <rFont val="Verdana"/>
        <family val="2"/>
      </rPr>
      <t>SYSTÈME DE NOTATION INTERNE</t>
    </r>
  </si>
  <si>
    <r>
      <rPr>
        <b/>
        <sz val="14"/>
        <rFont val="Verdana"/>
        <family val="2"/>
      </rPr>
      <t>EXPOSITION INITIALE AVANT APPLICATION DES FACTEURS DE CONVERSION</t>
    </r>
  </si>
  <si>
    <r>
      <rPr>
        <b/>
        <sz val="14"/>
        <rFont val="Verdana"/>
        <family val="2"/>
      </rPr>
      <t>TECHNIQUES D'ATTÉNUATION DU RISQUE DE CRÉDIT (ARC) AVEC EFFETS DE SUBSTITUTION SUR L'EXPOSITION</t>
    </r>
  </si>
  <si>
    <r>
      <rPr>
        <b/>
        <sz val="14"/>
        <rFont val="Verdana"/>
        <family val="2"/>
      </rPr>
      <t>VALEUR EXPOSÉE AU RISQUE</t>
    </r>
  </si>
  <si>
    <r>
      <rPr>
        <b/>
        <sz val="14"/>
        <rFont val="Verdana"/>
        <family val="2"/>
      </rPr>
      <t>LGD MOYENNE, PONDÉRÉE (%)
(%)</t>
    </r>
  </si>
  <si>
    <r>
      <rPr>
        <b/>
        <sz val="14"/>
        <rFont val="Verdana"/>
        <family val="2"/>
      </rPr>
      <t>MONTANT D’EXPOSITION PONDÉRÉ</t>
    </r>
  </si>
  <si>
    <r>
      <rPr>
        <b/>
        <sz val="14"/>
        <rFont val="Verdana"/>
        <family val="2"/>
      </rPr>
      <t>POUR MÉMOIRE:</t>
    </r>
  </si>
  <si>
    <r>
      <rPr>
        <b/>
        <sz val="14"/>
        <rFont val="Verdana"/>
        <family val="2"/>
      </rPr>
      <t>PROTECTION DE CRÉDIT NON FINANCÉE:</t>
    </r>
  </si>
  <si>
    <r>
      <rPr>
        <b/>
        <sz val="14"/>
        <rFont val="Verdana"/>
        <family val="2"/>
      </rPr>
      <t>SUBSTITUTION DE L’EXPOSITION DUE À L’ARC:</t>
    </r>
  </si>
  <si>
    <r>
      <rPr>
        <b/>
        <sz val="14"/>
        <rFont val="Verdana"/>
        <family val="2"/>
      </rPr>
      <t>MONTANT DES PERTES ANTICIPÉES</t>
    </r>
  </si>
  <si>
    <r>
      <rPr>
        <b/>
        <sz val="14"/>
        <rFont val="Verdana"/>
        <family val="2"/>
      </rPr>
      <t>PD AFFECTÉE À L'ÉCHELON DE DÉBITEUR
(%)</t>
    </r>
  </si>
  <si>
    <r>
      <rPr>
        <b/>
        <sz val="14"/>
        <rFont val="Verdana"/>
        <family val="2"/>
      </rPr>
      <t>(-) GARANTIES</t>
    </r>
  </si>
  <si>
    <r>
      <rPr>
        <b/>
        <sz val="14"/>
        <rFont val="Verdana"/>
        <family val="2"/>
      </rPr>
      <t>(-) DÉRIVÉS DE CRÉDIT</t>
    </r>
  </si>
  <si>
    <r>
      <rPr>
        <b/>
        <sz val="14"/>
        <rFont val="Verdana"/>
        <family val="2"/>
      </rPr>
      <t>(-) TOTAL SORTIES</t>
    </r>
  </si>
  <si>
    <r>
      <rPr>
        <sz val="14"/>
        <rFont val="Verdana"/>
        <family val="2"/>
      </rPr>
      <t>005</t>
    </r>
  </si>
  <si>
    <r>
      <rPr>
        <sz val="14"/>
        <rFont val="Verdana"/>
        <family val="2"/>
      </rPr>
      <t>010</t>
    </r>
  </si>
  <si>
    <r>
      <rPr>
        <sz val="14"/>
        <rFont val="Verdana"/>
        <family val="2"/>
      </rPr>
      <t>020</t>
    </r>
  </si>
  <si>
    <r>
      <rPr>
        <sz val="14"/>
        <rFont val="Verdana"/>
        <family val="2"/>
      </rPr>
      <t>030</t>
    </r>
  </si>
  <si>
    <r>
      <rPr>
        <sz val="14"/>
        <rFont val="Verdana"/>
        <family val="2"/>
      </rPr>
      <t>040</t>
    </r>
  </si>
  <si>
    <r>
      <rPr>
        <sz val="14"/>
        <rFont val="Verdana"/>
        <family val="2"/>
      </rPr>
      <t>050</t>
    </r>
  </si>
  <si>
    <r>
      <rPr>
        <sz val="14"/>
        <rFont val="Verdana"/>
        <family val="2"/>
      </rPr>
      <t>060</t>
    </r>
  </si>
  <si>
    <r>
      <rPr>
        <sz val="14"/>
        <rFont val="Verdana"/>
        <family val="2"/>
      </rPr>
      <t>070</t>
    </r>
  </si>
  <si>
    <r>
      <rPr>
        <sz val="14"/>
        <rFont val="Verdana"/>
        <family val="2"/>
      </rPr>
      <t>080</t>
    </r>
  </si>
  <si>
    <r>
      <rPr>
        <sz val="14"/>
        <rFont val="Verdana"/>
        <family val="2"/>
      </rPr>
      <t>090</t>
    </r>
  </si>
  <si>
    <r>
      <rPr>
        <b/>
        <sz val="14"/>
        <rFont val="Verdana"/>
        <family val="2"/>
      </rPr>
      <t>C 11.00 – RISQUE DE RÈGLEMENT/LIVRAISON (CR SETT)</t>
    </r>
  </si>
  <si>
    <r>
      <rPr>
        <b/>
        <sz val="12"/>
        <rFont val="Verdana"/>
        <family val="2"/>
      </rPr>
      <t>OPÉRATIONS NON DÉNOUÉES AU PRIX DE RÈGLEMENT</t>
    </r>
  </si>
  <si>
    <r>
      <rPr>
        <b/>
        <sz val="12"/>
        <rFont val="Verdana"/>
        <family val="2"/>
      </rPr>
      <t>EXPOSITION À LA DIFFÉRENCE DE PRIX DUE À DES OPÉRATIONS NON DÉNOUÉES</t>
    </r>
  </si>
  <si>
    <r>
      <rPr>
        <b/>
        <sz val="12"/>
        <rFont val="Verdana"/>
        <family val="2"/>
      </rPr>
      <t>EXIGENCES DE FONDS PROPRES</t>
    </r>
  </si>
  <si>
    <r>
      <rPr>
        <b/>
        <sz val="12"/>
        <rFont val="Verdana"/>
        <family val="2"/>
      </rPr>
      <t>MONTANT TOTAL DE L’EXPOSITION AU RISQUE DE RÈGLEMENT</t>
    </r>
  </si>
  <si>
    <r>
      <rPr>
        <sz val="12"/>
        <rFont val="Verdana"/>
        <family val="2"/>
      </rPr>
      <t>010</t>
    </r>
  </si>
  <si>
    <r>
      <rPr>
        <sz val="12"/>
        <rFont val="Verdana"/>
        <family val="2"/>
      </rPr>
      <t>020</t>
    </r>
  </si>
  <si>
    <r>
      <rPr>
        <sz val="12"/>
        <rFont val="Verdana"/>
        <family val="2"/>
      </rPr>
      <t>030</t>
    </r>
  </si>
  <si>
    <r>
      <rPr>
        <sz val="12"/>
        <rFont val="Verdana"/>
        <family val="2"/>
      </rPr>
      <t>040</t>
    </r>
  </si>
  <si>
    <r>
      <rPr>
        <sz val="12"/>
        <rFont val="Verdana"/>
        <family val="2"/>
      </rPr>
      <t>010</t>
    </r>
  </si>
  <si>
    <r>
      <rPr>
        <b/>
        <sz val="12"/>
        <rFont val="Verdana"/>
        <family val="2"/>
      </rPr>
      <t>Total des opérations non dénouées dans le portefeuille hors négociation</t>
    </r>
  </si>
  <si>
    <r>
      <rPr>
        <sz val="11"/>
        <rFont val="Verdana"/>
        <family val="2"/>
      </rPr>
      <t>Cellule liée à l'état CA</t>
    </r>
  </si>
  <si>
    <r>
      <rPr>
        <sz val="12"/>
        <rFont val="Verdana"/>
        <family val="2"/>
      </rPr>
      <t>020</t>
    </r>
  </si>
  <si>
    <r>
      <rPr>
        <sz val="12"/>
        <rFont val="Verdana"/>
        <family val="2"/>
      </rPr>
      <t>Opérations non dénouées jusqu’à 4 jours (Facteur de 0 %)</t>
    </r>
  </si>
  <si>
    <r>
      <rPr>
        <sz val="12"/>
        <rFont val="Verdana"/>
        <family val="2"/>
      </rPr>
      <t>030</t>
    </r>
  </si>
  <si>
    <r>
      <rPr>
        <sz val="12"/>
        <rFont val="Verdana"/>
        <family val="2"/>
      </rPr>
      <t>Opérations non dénouées entre 5 et 15 jours (Facteur de 8 %)</t>
    </r>
  </si>
  <si>
    <r>
      <rPr>
        <sz val="12"/>
        <rFont val="Verdana"/>
        <family val="2"/>
      </rPr>
      <t>040</t>
    </r>
  </si>
  <si>
    <r>
      <rPr>
        <sz val="12"/>
        <rFont val="Verdana"/>
        <family val="2"/>
      </rPr>
      <t>Opérations non dénouées entre 16 et 30 jours (Facteur de 50 %)</t>
    </r>
  </si>
  <si>
    <r>
      <rPr>
        <sz val="12"/>
        <rFont val="Verdana"/>
        <family val="2"/>
      </rPr>
      <t>050</t>
    </r>
  </si>
  <si>
    <r>
      <rPr>
        <sz val="12"/>
        <rFont val="Verdana"/>
        <family val="2"/>
      </rPr>
      <t>Opérations non dénouées entre 31 et 45 jours (Facteur de 75 %)</t>
    </r>
  </si>
  <si>
    <r>
      <rPr>
        <sz val="12"/>
        <rFont val="Verdana"/>
        <family val="2"/>
      </rPr>
      <t>060</t>
    </r>
  </si>
  <si>
    <r>
      <rPr>
        <sz val="12"/>
        <rFont val="Verdana"/>
        <family val="2"/>
      </rPr>
      <t>Opérations non dénouées pendant 46 jours ou plus (Facteur de 100 %)</t>
    </r>
  </si>
  <si>
    <r>
      <rPr>
        <sz val="12"/>
        <rFont val="Verdana"/>
        <family val="2"/>
      </rPr>
      <t>070</t>
    </r>
  </si>
  <si>
    <r>
      <rPr>
        <b/>
        <sz val="12"/>
        <rFont val="Verdana"/>
        <family val="2"/>
      </rPr>
      <t>Total des opérations non dénouées dans le portefeuille de négociation</t>
    </r>
  </si>
  <si>
    <r>
      <rPr>
        <sz val="11"/>
        <rFont val="Verdana"/>
        <family val="2"/>
      </rPr>
      <t>Cellule liée à l'état CA</t>
    </r>
  </si>
  <si>
    <r>
      <rPr>
        <sz val="12"/>
        <rFont val="Verdana"/>
        <family val="2"/>
      </rPr>
      <t>080</t>
    </r>
  </si>
  <si>
    <r>
      <rPr>
        <sz val="12"/>
        <rFont val="Verdana"/>
        <family val="2"/>
      </rPr>
      <t>Opérations non dénouées jusqu’à 4 jours (Facteur de 0 %)</t>
    </r>
  </si>
  <si>
    <r>
      <rPr>
        <sz val="12"/>
        <rFont val="Verdana"/>
        <family val="2"/>
      </rPr>
      <t>090</t>
    </r>
  </si>
  <si>
    <r>
      <rPr>
        <sz val="12"/>
        <rFont val="Verdana"/>
        <family val="2"/>
      </rPr>
      <t>Opérations non dénouées entre 5 et 15 jours (Facteur de 8 %)</t>
    </r>
  </si>
  <si>
    <r>
      <rPr>
        <sz val="12"/>
        <rFont val="Verdana"/>
        <family val="2"/>
      </rPr>
      <t>100</t>
    </r>
  </si>
  <si>
    <r>
      <rPr>
        <sz val="12"/>
        <rFont val="Verdana"/>
        <family val="2"/>
      </rPr>
      <t>Opérations non dénouées entre 16 et 30 jours (Facteur de 50 %)</t>
    </r>
  </si>
  <si>
    <r>
      <rPr>
        <sz val="12"/>
        <rFont val="Verdana"/>
        <family val="2"/>
      </rPr>
      <t>110</t>
    </r>
  </si>
  <si>
    <r>
      <rPr>
        <sz val="12"/>
        <rFont val="Verdana"/>
        <family val="2"/>
      </rPr>
      <t>Opérations non dénouées entre 31 et 45 jours (Facteur de 75 %)</t>
    </r>
  </si>
  <si>
    <r>
      <rPr>
        <sz val="12"/>
        <rFont val="Verdana"/>
        <family val="2"/>
      </rPr>
      <t>120</t>
    </r>
  </si>
  <si>
    <r>
      <rPr>
        <sz val="12"/>
        <rFont val="Verdana"/>
        <family val="2"/>
      </rPr>
      <t>Opérations non dénouées pendant 46 jours ou plus (Facteur de 100 %)</t>
    </r>
  </si>
  <si>
    <r>
      <rPr>
        <b/>
        <sz val="36"/>
        <color rgb="FF000000"/>
        <rFont val="Verdana"/>
        <family val="2"/>
      </rPr>
      <t>C 12.00 - RISQUE DE CRÉDIT: TITRISATIONS - APPROCHE STANDARD DES EXIGENCES DE FONDS PROPRES (CR SEC SA)</t>
    </r>
  </si>
  <si>
    <r>
      <rPr>
        <b/>
        <sz val="36"/>
        <color rgb="FF000000"/>
        <rFont val="Verdana"/>
        <family val="2"/>
      </rPr>
      <t>C 12.00 - RISQUE DE CRÉDIT: TITRISATIONS - APPROCHE STANDARD DES EXIGENCES DE FONDS PROPRES (CR SEC SA)</t>
    </r>
  </si>
  <si>
    <r>
      <rPr>
        <b/>
        <sz val="36"/>
        <color rgb="FF000000"/>
        <rFont val="Verdana"/>
        <family val="2"/>
      </rPr>
      <t>C 12.00 - RISQUE DE CRÉDIT: TITRISATIONS - APPROCHE STANDARD DES EXIGENCES DE FONDS PROPRES (CR SEC SA)</t>
    </r>
  </si>
  <si>
    <r>
      <rPr>
        <b/>
        <sz val="18"/>
        <color rgb="FF000000"/>
        <rFont val="Verdana"/>
        <family val="2"/>
      </rPr>
      <t>MONTANT TOTAL</t>
    </r>
    <r>
      <rPr>
        <b/>
        <sz val="18"/>
        <color theme="1"/>
        <rFont val="Verdana"/>
        <family val="2"/>
      </rPr>
      <t xml:space="preserve"> DES EXPOSITIONS</t>
    </r>
    <r>
      <rPr>
        <sz val="18"/>
        <color rgb="FF000000"/>
        <rFont val="Verdana"/>
      </rPr>
      <t xml:space="preserve"> </t>
    </r>
    <r>
      <rPr>
        <b/>
        <sz val="18"/>
        <color rgb="FF000000"/>
        <rFont val="Verdana"/>
        <family val="2"/>
      </rPr>
      <t>DE TITRISATION INITIÉES</t>
    </r>
  </si>
  <si>
    <r>
      <rPr>
        <b/>
        <sz val="18"/>
        <color rgb="FF000000"/>
        <rFont val="Verdana"/>
        <family val="2"/>
      </rPr>
      <t>TITRISATIONS SYNTHÉTIQUES: PROTECTION DE CRÉDIT SUR LES EXPOSITIONS TITRISÉES</t>
    </r>
  </si>
  <si>
    <r>
      <rPr>
        <b/>
        <sz val="18"/>
        <rFont val="Verdana"/>
        <family val="2"/>
      </rPr>
      <t>POSITIONS DE TITRISATION</t>
    </r>
  </si>
  <si>
    <r>
      <rPr>
        <b/>
        <sz val="18"/>
        <rFont val="Verdana"/>
        <family val="2"/>
      </rPr>
      <t>(-) CORRECTIONS DE VALEUR ET PROVISIONS</t>
    </r>
  </si>
  <si>
    <r>
      <rPr>
        <b/>
        <sz val="18"/>
        <rFont val="Verdana"/>
        <family val="2"/>
      </rPr>
      <t>EXPOSITION NETTE DES CORRECTIONS DE VALEUR ET DES PROVISIONS</t>
    </r>
  </si>
  <si>
    <r>
      <rPr>
        <b/>
        <sz val="18"/>
        <rFont val="Verdana"/>
        <family val="2"/>
      </rPr>
      <t>TECHNIQUES D'ATTÉNUATION DU RISQUE DE CRÉDIT (ARC) AVEC EFFETS DE SUBSTITUTION SUR L'EXPOSITION</t>
    </r>
  </si>
  <si>
    <r>
      <rPr>
        <b/>
        <sz val="18"/>
        <rFont val="Verdana"/>
        <family val="2"/>
      </rPr>
      <t>EXPOSITION NETTE COMPTE TENU DES EFFETS DE SUBSTITUTION ARC ET AVANT APPLICATION DES FACTEURS DE CONVERSION</t>
    </r>
  </si>
  <si>
    <r>
      <rPr>
        <b/>
        <sz val="18"/>
        <rFont val="Verdana"/>
        <family val="2"/>
      </rPr>
      <t>(-) TECHNIQUES D’ATTÉNUATION DU RISQUE DE CRÉDIT MODIFIANT LE MONTANT DE L’EXPOSITION: VALEUR CORRIGÉE SELON LA MÉTHODE GÉNÉRALE FONDÉE SUR LES SÛRETÉS FINANCIÈRES POUR LA PROTECTION DE CRÉDIT FINANCÉE (Cvam)</t>
    </r>
  </si>
  <si>
    <r>
      <rPr>
        <b/>
        <sz val="18"/>
        <rFont val="Verdana"/>
        <family val="2"/>
      </rPr>
      <t>VALEUR EXPOSÉE AU RISQUE PLEINEMENT AJUSTÉE (E*)</t>
    </r>
  </si>
  <si>
    <r>
      <rPr>
        <b/>
        <sz val="18"/>
        <rFont val="Verdana"/>
        <family val="2"/>
      </rPr>
      <t>RÉPARTITION DE LA VALEUR EXPOSÉE AU RISQUE PLEINEMENT AJUSTÉE (E*) DES ÉLÉMENTS DE HORS BILAN PAR FACTEUR DE CONVERSION</t>
    </r>
  </si>
  <si>
    <r>
      <rPr>
        <b/>
        <sz val="18"/>
        <rFont val="Verdana"/>
        <family val="2"/>
      </rPr>
      <t xml:space="preserve">VALEUR EXPOSÉE AU RISQUE </t>
    </r>
  </si>
  <si>
    <r>
      <rPr>
        <b/>
        <sz val="18"/>
        <rFont val="Verdana"/>
        <family val="2"/>
      </rPr>
      <t>RÉPARTITION DE LA VALEUR EXPOSÉE AU RISQUE FAISANT L'OBJET DE PONDÉRATIONS</t>
    </r>
  </si>
  <si>
    <r>
      <rPr>
        <b/>
        <sz val="18"/>
        <rFont val="Verdana"/>
        <family val="2"/>
      </rPr>
      <t>RÉPARTITION DE LA VALEUR EXPOSÉE AU RISQUE FAISANT L'OBJET DE PONDÉRATIONS</t>
    </r>
  </si>
  <si>
    <r>
      <rPr>
        <b/>
        <sz val="18"/>
        <color rgb="FF000000"/>
        <rFont val="Verdana"/>
        <family val="2"/>
      </rPr>
      <t>MONTANT D’EXPOSITION PONDÉRÉ</t>
    </r>
  </si>
  <si>
    <r>
      <rPr>
        <b/>
        <sz val="18"/>
        <rFont val="Verdana"/>
        <family val="2"/>
      </rPr>
      <t>EFFET GLOBAL (AJUSTEMENT) LIÉ AU MANQUEMENT AUX DISPOSITIONS EN MATIÈRE DE DILIGENCE APPROPRIÉE</t>
    </r>
  </si>
  <si>
    <r>
      <rPr>
        <b/>
        <sz val="18"/>
        <rFont val="Verdana"/>
        <family val="2"/>
      </rPr>
      <t>AJUSTEMENT DU MONTANT D’EXPOSITION PONDÉRÉ DU FAIT D’UNE ASYMÉTRIE D’ÉCHÉANCES</t>
    </r>
  </si>
  <si>
    <r>
      <rPr>
        <b/>
        <sz val="18"/>
        <rFont val="Verdana"/>
        <family val="2"/>
      </rPr>
      <t xml:space="preserve">MONTANT TOTAL D'EXPOSITION PONDÉRÉ </t>
    </r>
  </si>
  <si>
    <r>
      <rPr>
        <b/>
        <sz val="18"/>
        <rFont val="Verdana"/>
        <family val="2"/>
      </rPr>
      <t>POUR MÉMOIRE:
MONTANT D’EXPOSITION PONDÉRÉ CORRESPONDANT AUX SORTIES DE LA TITRISATION SA VERS D’AUTRES CATÉGORIES D’EXPOSITION</t>
    </r>
  </si>
  <si>
    <r>
      <rPr>
        <b/>
        <sz val="18"/>
        <rFont val="Verdana"/>
        <family val="2"/>
      </rPr>
      <t>(-) PROTECTION DE CRÉDIT FINANCÉE (Cva)</t>
    </r>
  </si>
  <si>
    <r>
      <rPr>
        <b/>
        <sz val="18"/>
        <rFont val="Verdana"/>
        <family val="2"/>
      </rPr>
      <t xml:space="preserve"> (-) TOTAL SORTIES </t>
    </r>
  </si>
  <si>
    <r>
      <rPr>
        <b/>
        <sz val="18"/>
        <color rgb="FF000000"/>
        <rFont val="Verdana"/>
        <family val="2"/>
      </rPr>
      <t>MONTANT NOTIONNEL DE PROTECTION DE CRÉDIT CONSERVÉ OU RACHETÉ</t>
    </r>
  </si>
  <si>
    <r>
      <rPr>
        <b/>
        <sz val="18"/>
        <rFont val="Verdana"/>
        <family val="2"/>
      </rPr>
      <t>EXPOSITION INITIALE AVANT APPLICATION DES FACTEURS DE CONVERSION</t>
    </r>
  </si>
  <si>
    <r>
      <rPr>
        <b/>
        <sz val="18"/>
        <rFont val="Verdana"/>
        <family val="2"/>
      </rPr>
      <t>(-) PROTECTION DE CRÉDIT NON FINANCÉE: VALEURS CORRIGÉES (Ga)</t>
    </r>
  </si>
  <si>
    <r>
      <rPr>
        <b/>
        <sz val="18"/>
        <rFont val="Verdana"/>
        <family val="2"/>
      </rPr>
      <t>(-) PROTECTION DE CRÉDIT FINANCÉE</t>
    </r>
  </si>
  <si>
    <r>
      <rPr>
        <b/>
        <sz val="18"/>
        <rFont val="Verdana"/>
        <family val="2"/>
      </rPr>
      <t>SUBSTITUTION DE L’EXPOSITION DUE À L’ARC:</t>
    </r>
  </si>
  <si>
    <r>
      <rPr>
        <b/>
        <sz val="18"/>
        <rFont val="Verdana"/>
        <family val="2"/>
      </rPr>
      <t>&gt; 0 % et &lt;= 20 %</t>
    </r>
  </si>
  <si>
    <r>
      <rPr>
        <b/>
        <sz val="18"/>
        <rFont val="Verdana"/>
        <family val="2"/>
      </rPr>
      <t>&gt; 20 % et &lt;= 50 %</t>
    </r>
  </si>
  <si>
    <r>
      <rPr>
        <b/>
        <sz val="18"/>
        <rFont val="Verdana"/>
        <family val="2"/>
      </rPr>
      <t>&gt; 50 % et &lt;= 100 %</t>
    </r>
  </si>
  <si>
    <r>
      <rPr>
        <b/>
        <sz val="18"/>
        <rFont val="Verdana"/>
        <family val="2"/>
      </rPr>
      <t>(-) DÉDUITE DES FONDS PROPRES</t>
    </r>
  </si>
  <si>
    <r>
      <rPr>
        <b/>
        <sz val="18"/>
        <rFont val="Verdana"/>
        <family val="2"/>
      </rPr>
      <t>FAISANT L'OBJET DE PONDÉRATIONS</t>
    </r>
  </si>
  <si>
    <r>
      <rPr>
        <b/>
        <sz val="18"/>
        <color rgb="FF000000"/>
        <rFont val="Verdana"/>
        <family val="2"/>
      </rPr>
      <t>POSITIONS NOTÉES
(ÉCHELONS DE QUALITÉ DE CRÉDIT - EQC)</t>
    </r>
  </si>
  <si>
    <r>
      <rPr>
        <b/>
        <sz val="18"/>
        <color rgb="FF000000"/>
        <rFont val="Verdana"/>
        <family val="2"/>
      </rPr>
      <t>APPROCHE PAR TRANSPARENCE</t>
    </r>
  </si>
  <si>
    <r>
      <rPr>
        <b/>
        <sz val="18"/>
        <rFont val="Verdana"/>
        <family val="2"/>
      </rPr>
      <t xml:space="preserve"> APPROCHE PAR ÉVALUATION INTERNE</t>
    </r>
  </si>
  <si>
    <r>
      <rPr>
        <b/>
        <sz val="18"/>
        <rFont val="Verdana"/>
        <family val="2"/>
      </rPr>
      <t>(-) VALEURS CORRIGÉES DE PROTECTION DE CRÉDIT NON FINANCÉE (G*)</t>
    </r>
  </si>
  <si>
    <r>
      <rPr>
        <b/>
        <sz val="18"/>
        <rFont val="Verdana"/>
        <family val="2"/>
      </rPr>
      <t xml:space="preserve">(-) TOTAL SORTIES </t>
    </r>
  </si>
  <si>
    <r>
      <rPr>
        <b/>
        <sz val="18"/>
        <rFont val="Verdana"/>
        <family val="2"/>
      </rPr>
      <t>TOTAL ENTRÉES</t>
    </r>
  </si>
  <si>
    <r>
      <rPr>
        <b/>
        <sz val="18"/>
        <rFont val="Verdana"/>
        <family val="2"/>
      </rPr>
      <t>EQC 1</t>
    </r>
  </si>
  <si>
    <r>
      <rPr>
        <b/>
        <sz val="18"/>
        <rFont val="Verdana"/>
        <family val="2"/>
      </rPr>
      <t>EQC 2</t>
    </r>
  </si>
  <si>
    <r>
      <rPr>
        <b/>
        <sz val="18"/>
        <rFont val="Verdana"/>
        <family val="2"/>
      </rPr>
      <t>EQC 3</t>
    </r>
  </si>
  <si>
    <r>
      <rPr>
        <b/>
        <sz val="18"/>
        <rFont val="Verdana"/>
        <family val="2"/>
      </rPr>
      <t>EQC 4</t>
    </r>
  </si>
  <si>
    <r>
      <rPr>
        <b/>
        <sz val="18"/>
        <rFont val="Verdana"/>
        <family val="2"/>
      </rPr>
      <t>TOUS LES AUTRES EQC</t>
    </r>
  </si>
  <si>
    <r>
      <rPr>
        <b/>
        <sz val="18"/>
        <color rgb="FF000000"/>
        <rFont val="Verdana"/>
        <family val="2"/>
      </rPr>
      <t>POSITIONS NON NOTÉES</t>
    </r>
  </si>
  <si>
    <r>
      <rPr>
        <b/>
        <sz val="18"/>
        <color rgb="FF000000"/>
        <rFont val="Verdana"/>
        <family val="2"/>
      </rPr>
      <t>DONT: TRANCHE DE DEUXIÈME PERTE DU PROGRAMME ABCP</t>
    </r>
  </si>
  <si>
    <r>
      <rPr>
        <b/>
        <sz val="18"/>
        <color rgb="FF000000"/>
        <rFont val="Verdana"/>
        <family val="2"/>
      </rPr>
      <t>DONT: PONDÉRATION MOYENNE (%)</t>
    </r>
  </si>
  <si>
    <r>
      <rPr>
        <b/>
        <sz val="18"/>
        <rFont val="Verdana"/>
        <family val="2"/>
      </rPr>
      <t>PONDÉRATION MOYENNE (%)</t>
    </r>
  </si>
  <si>
    <r>
      <rPr>
        <b/>
        <sz val="18"/>
        <color rgb="FF000000"/>
        <rFont val="Verdana"/>
        <family val="2"/>
      </rPr>
      <t>DONT: TITRISATIONS SYNTHÉTIQUES</t>
    </r>
  </si>
  <si>
    <r>
      <rPr>
        <b/>
        <sz val="18"/>
        <rFont val="Verdana"/>
        <family val="2"/>
      </rPr>
      <t>AVANT APPLICATION DU PLAFOND</t>
    </r>
  </si>
  <si>
    <r>
      <rPr>
        <b/>
        <sz val="18"/>
        <rFont val="Verdana"/>
        <family val="2"/>
      </rPr>
      <t>APRÈS APPLICATION DU PLAFOND</t>
    </r>
  </si>
  <si>
    <r>
      <rPr>
        <sz val="20"/>
        <color rgb="FF000000"/>
        <rFont val="Verdana"/>
        <family val="2"/>
      </rPr>
      <t>010</t>
    </r>
  </si>
  <si>
    <r>
      <rPr>
        <sz val="20"/>
        <color rgb="FF000000"/>
        <rFont val="Verdana"/>
        <family val="2"/>
      </rPr>
      <t>020</t>
    </r>
  </si>
  <si>
    <r>
      <rPr>
        <sz val="20"/>
        <color rgb="FF000000"/>
        <rFont val="Verdana"/>
        <family val="2"/>
      </rPr>
      <t>030</t>
    </r>
  </si>
  <si>
    <r>
      <rPr>
        <sz val="20"/>
        <color rgb="FF000000"/>
        <rFont val="Verdana"/>
        <family val="2"/>
      </rPr>
      <t>040</t>
    </r>
  </si>
  <si>
    <r>
      <rPr>
        <sz val="20"/>
        <color rgb="FF000000"/>
        <rFont val="Verdana"/>
        <family val="2"/>
      </rPr>
      <t>050</t>
    </r>
  </si>
  <si>
    <r>
      <rPr>
        <sz val="20"/>
        <color rgb="FF000000"/>
        <rFont val="Verdana"/>
        <family val="2"/>
      </rPr>
      <t>060</t>
    </r>
  </si>
  <si>
    <r>
      <rPr>
        <sz val="20"/>
        <color rgb="FF000000"/>
        <rFont val="Verdana"/>
        <family val="2"/>
      </rPr>
      <t>070</t>
    </r>
  </si>
  <si>
    <r>
      <rPr>
        <sz val="20"/>
        <color rgb="FF000000"/>
        <rFont val="Verdana"/>
        <family val="2"/>
      </rPr>
      <t>080</t>
    </r>
  </si>
  <si>
    <r>
      <rPr>
        <sz val="20"/>
        <color rgb="FF000000"/>
        <rFont val="Verdana"/>
        <family val="2"/>
      </rPr>
      <t>090</t>
    </r>
  </si>
  <si>
    <r>
      <rPr>
        <sz val="20"/>
        <rFont val="Verdana"/>
        <family val="2"/>
      </rPr>
      <t>100</t>
    </r>
  </si>
  <si>
    <r>
      <rPr>
        <sz val="20"/>
        <color rgb="FF000000"/>
        <rFont val="Verdana"/>
        <family val="2"/>
      </rPr>
      <t>110</t>
    </r>
  </si>
  <si>
    <r>
      <rPr>
        <sz val="20"/>
        <color rgb="FF000000"/>
        <rFont val="Verdana"/>
        <family val="2"/>
      </rPr>
      <t>120</t>
    </r>
  </si>
  <si>
    <r>
      <rPr>
        <sz val="20"/>
        <color rgb="FF000000"/>
        <rFont val="Verdana"/>
        <family val="2"/>
      </rPr>
      <t>130</t>
    </r>
  </si>
  <si>
    <r>
      <rPr>
        <sz val="20"/>
        <color rgb="FF000000"/>
        <rFont val="Verdana"/>
        <family val="2"/>
      </rPr>
      <t>140</t>
    </r>
  </si>
  <si>
    <r>
      <rPr>
        <sz val="20"/>
        <color rgb="FF000000"/>
        <rFont val="Verdana"/>
        <family val="2"/>
      </rPr>
      <t>150</t>
    </r>
  </si>
  <si>
    <r>
      <rPr>
        <sz val="20"/>
        <color rgb="FF000000"/>
        <rFont val="Verdana"/>
        <family val="2"/>
      </rPr>
      <t>160</t>
    </r>
  </si>
  <si>
    <r>
      <rPr>
        <sz val="20"/>
        <color rgb="FF000000"/>
        <rFont val="Verdana"/>
        <family val="2"/>
      </rPr>
      <t>170</t>
    </r>
  </si>
  <si>
    <r>
      <rPr>
        <sz val="20"/>
        <color rgb="FF000000"/>
        <rFont val="Verdana"/>
        <family val="2"/>
      </rPr>
      <t>180</t>
    </r>
  </si>
  <si>
    <r>
      <rPr>
        <sz val="20"/>
        <color rgb="FF000000"/>
        <rFont val="Verdana"/>
        <family val="2"/>
      </rPr>
      <t>190</t>
    </r>
  </si>
  <si>
    <r>
      <rPr>
        <sz val="20"/>
        <color rgb="FF000000"/>
        <rFont val="Verdana"/>
        <family val="2"/>
      </rPr>
      <t>200</t>
    </r>
  </si>
  <si>
    <r>
      <rPr>
        <sz val="20"/>
        <color rgb="FF000000"/>
        <rFont val="Verdana"/>
        <family val="2"/>
      </rPr>
      <t>210</t>
    </r>
  </si>
  <si>
    <r>
      <rPr>
        <sz val="20"/>
        <rFont val="Verdana"/>
        <family val="2"/>
      </rPr>
      <t>220</t>
    </r>
  </si>
  <si>
    <r>
      <rPr>
        <sz val="20"/>
        <rFont val="Verdana"/>
        <family val="2"/>
      </rPr>
      <t>230</t>
    </r>
  </si>
  <si>
    <r>
      <rPr>
        <sz val="20"/>
        <rFont val="Verdana"/>
        <family val="2"/>
      </rPr>
      <t>240</t>
    </r>
  </si>
  <si>
    <r>
      <rPr>
        <sz val="20"/>
        <rFont val="Verdana"/>
        <family val="2"/>
      </rPr>
      <t>250</t>
    </r>
  </si>
  <si>
    <r>
      <rPr>
        <sz val="20"/>
        <rFont val="Verdana"/>
        <family val="2"/>
      </rPr>
      <t>260</t>
    </r>
  </si>
  <si>
    <r>
      <rPr>
        <sz val="20"/>
        <rFont val="Verdana"/>
        <family val="2"/>
      </rPr>
      <t>270</t>
    </r>
  </si>
  <si>
    <r>
      <rPr>
        <sz val="20"/>
        <rFont val="Verdana"/>
        <family val="2"/>
      </rPr>
      <t>280</t>
    </r>
  </si>
  <si>
    <r>
      <rPr>
        <sz val="20"/>
        <rFont val="Verdana"/>
        <family val="2"/>
      </rPr>
      <t>290</t>
    </r>
  </si>
  <si>
    <r>
      <rPr>
        <sz val="20"/>
        <rFont val="Verdana"/>
        <family val="2"/>
      </rPr>
      <t>300</t>
    </r>
  </si>
  <si>
    <r>
      <rPr>
        <sz val="20"/>
        <rFont val="Verdana"/>
        <family val="2"/>
      </rPr>
      <t>310</t>
    </r>
  </si>
  <si>
    <r>
      <rPr>
        <sz val="20"/>
        <rFont val="Verdana"/>
        <family val="2"/>
      </rPr>
      <t>320</t>
    </r>
  </si>
  <si>
    <r>
      <rPr>
        <sz val="20"/>
        <rFont val="Verdana"/>
        <family val="2"/>
      </rPr>
      <t>330</t>
    </r>
  </si>
  <si>
    <r>
      <rPr>
        <sz val="20"/>
        <rFont val="Verdana"/>
        <family val="2"/>
      </rPr>
      <t>340</t>
    </r>
  </si>
  <si>
    <r>
      <rPr>
        <sz val="20"/>
        <rFont val="Verdana"/>
        <family val="2"/>
      </rPr>
      <t>350</t>
    </r>
  </si>
  <si>
    <r>
      <rPr>
        <sz val="20"/>
        <rFont val="Verdana"/>
        <family val="2"/>
      </rPr>
      <t>360</t>
    </r>
  </si>
  <si>
    <r>
      <rPr>
        <sz val="20"/>
        <rFont val="Verdana"/>
        <family val="2"/>
      </rPr>
      <t>370</t>
    </r>
  </si>
  <si>
    <r>
      <rPr>
        <sz val="20"/>
        <rFont val="Verdana"/>
        <family val="2"/>
      </rPr>
      <t>380</t>
    </r>
  </si>
  <si>
    <r>
      <rPr>
        <sz val="20"/>
        <rFont val="Verdana"/>
        <family val="2"/>
      </rPr>
      <t>390</t>
    </r>
  </si>
  <si>
    <r>
      <rPr>
        <sz val="20"/>
        <color rgb="FF000000"/>
        <rFont val="Verdana"/>
        <family val="2"/>
      </rPr>
      <t>010</t>
    </r>
  </si>
  <si>
    <r>
      <rPr>
        <b/>
        <sz val="26"/>
        <color rgb="FF000000"/>
        <rFont val="Verdana"/>
        <family val="2"/>
      </rPr>
      <t>TOTAL DES EXPOSITIONS</t>
    </r>
  </si>
  <si>
    <r>
      <rPr>
        <sz val="18"/>
        <rFont val="Verdana"/>
        <family val="2"/>
      </rPr>
      <t>Cellule liée à l'état CA</t>
    </r>
  </si>
  <si>
    <r>
      <rPr>
        <sz val="20"/>
        <color rgb="FF000000"/>
        <rFont val="Verdana"/>
        <family val="2"/>
      </rPr>
      <t>020</t>
    </r>
  </si>
  <si>
    <r>
      <rPr>
        <sz val="22"/>
        <color rgb="FF000000"/>
        <rFont val="Verdana"/>
        <family val="2"/>
      </rPr>
      <t>DONT: RETITRISATIONS</t>
    </r>
  </si>
  <si>
    <r>
      <rPr>
        <sz val="18"/>
        <rFont val="Verdana"/>
        <family val="2"/>
      </rPr>
      <t>Cellule liée à l'état CA</t>
    </r>
  </si>
  <si>
    <r>
      <rPr>
        <sz val="20"/>
        <color rgb="FF000000"/>
        <rFont val="Verdana"/>
        <family val="2"/>
      </rPr>
      <t>030</t>
    </r>
  </si>
  <si>
    <r>
      <rPr>
        <b/>
        <sz val="22"/>
        <color rgb="FF000000"/>
        <rFont val="Verdana"/>
        <family val="2"/>
      </rPr>
      <t>INITIATEUR: TOTAL DES EXPOSITIONS</t>
    </r>
  </si>
  <si>
    <r>
      <rPr>
        <sz val="20"/>
        <color rgb="FF000000"/>
        <rFont val="Verdana"/>
        <family val="2"/>
      </rPr>
      <t>040</t>
    </r>
  </si>
  <si>
    <r>
      <rPr>
        <sz val="22"/>
        <color rgb="FF000000"/>
        <rFont val="Verdana"/>
        <family val="2"/>
      </rPr>
      <t>ÉLÉMENTS DE BILAN</t>
    </r>
  </si>
  <si>
    <r>
      <rPr>
        <sz val="20"/>
        <color rgb="FF000000"/>
        <rFont val="Verdana"/>
        <family val="2"/>
      </rPr>
      <t>050</t>
    </r>
  </si>
  <si>
    <r>
      <rPr>
        <sz val="22"/>
        <color rgb="FF000000"/>
        <rFont val="Verdana"/>
        <family val="2"/>
      </rPr>
      <t>TITRISATIONS</t>
    </r>
  </si>
  <si>
    <r>
      <rPr>
        <sz val="20"/>
        <color rgb="FF000000"/>
        <rFont val="Verdana"/>
        <family val="2"/>
      </rPr>
      <t>060</t>
    </r>
  </si>
  <si>
    <r>
      <rPr>
        <sz val="22"/>
        <color rgb="FF000000"/>
        <rFont val="Verdana"/>
        <family val="2"/>
      </rPr>
      <t>RETITRISATIONS</t>
    </r>
  </si>
  <si>
    <r>
      <rPr>
        <sz val="20"/>
        <color rgb="FF000000"/>
        <rFont val="Verdana"/>
        <family val="2"/>
      </rPr>
      <t>070</t>
    </r>
  </si>
  <si>
    <r>
      <rPr>
        <sz val="22"/>
        <color rgb="FF000000"/>
        <rFont val="Verdana"/>
        <family val="2"/>
      </rPr>
      <t>ÉLÉMENTS DE HORS BILAN ET DÉRIVÉS</t>
    </r>
  </si>
  <si>
    <r>
      <rPr>
        <sz val="20"/>
        <color rgb="FF000000"/>
        <rFont val="Verdana"/>
        <family val="2"/>
      </rPr>
      <t>080</t>
    </r>
  </si>
  <si>
    <r>
      <rPr>
        <sz val="22"/>
        <color rgb="FF000000"/>
        <rFont val="Verdana"/>
        <family val="2"/>
      </rPr>
      <t>TITRISATIONS</t>
    </r>
  </si>
  <si>
    <r>
      <rPr>
        <sz val="20"/>
        <color rgb="FF000000"/>
        <rFont val="Verdana"/>
        <family val="2"/>
      </rPr>
      <t>090</t>
    </r>
  </si>
  <si>
    <r>
      <rPr>
        <sz val="22"/>
        <color rgb="FF000000"/>
        <rFont val="Verdana"/>
        <family val="2"/>
      </rPr>
      <t>RETITRISATIONS</t>
    </r>
  </si>
  <si>
    <r>
      <rPr>
        <sz val="20"/>
        <color rgb="FF000000"/>
        <rFont val="Verdana"/>
        <family val="2"/>
      </rPr>
      <t>100</t>
    </r>
  </si>
  <si>
    <r>
      <rPr>
        <sz val="22"/>
        <color rgb="FF000000"/>
        <rFont val="Verdana"/>
        <family val="2"/>
      </rPr>
      <t>REMBOURSEMENT ANTICIPÉ</t>
    </r>
  </si>
  <si>
    <r>
      <rPr>
        <sz val="20"/>
        <color rgb="FF000000"/>
        <rFont val="Verdana"/>
        <family val="2"/>
      </rPr>
      <t>110</t>
    </r>
  </si>
  <si>
    <r>
      <rPr>
        <b/>
        <sz val="22"/>
        <color rgb="FF000000"/>
        <rFont val="Verdana"/>
        <family val="2"/>
      </rPr>
      <t>INVESTISSEUR: TOTAL DES EXPOSITIONS</t>
    </r>
  </si>
  <si>
    <r>
      <rPr>
        <sz val="20"/>
        <color rgb="FF000000"/>
        <rFont val="Verdana"/>
        <family val="2"/>
      </rPr>
      <t>120</t>
    </r>
  </si>
  <si>
    <r>
      <rPr>
        <sz val="22"/>
        <color rgb="FF000000"/>
        <rFont val="Verdana"/>
        <family val="2"/>
      </rPr>
      <t>ÉLÉMENTS DE BILAN</t>
    </r>
  </si>
  <si>
    <r>
      <rPr>
        <sz val="20"/>
        <color rgb="FF000000"/>
        <rFont val="Verdana"/>
        <family val="2"/>
      </rPr>
      <t>130</t>
    </r>
  </si>
  <si>
    <r>
      <rPr>
        <sz val="22"/>
        <color rgb="FF000000"/>
        <rFont val="Verdana"/>
        <family val="2"/>
      </rPr>
      <t>TITRISATIONS</t>
    </r>
  </si>
  <si>
    <r>
      <rPr>
        <sz val="20"/>
        <color rgb="FF000000"/>
        <rFont val="Verdana"/>
        <family val="2"/>
      </rPr>
      <t>140</t>
    </r>
  </si>
  <si>
    <r>
      <rPr>
        <sz val="22"/>
        <color rgb="FF000000"/>
        <rFont val="Verdana"/>
        <family val="2"/>
      </rPr>
      <t>RETITRISATIONS</t>
    </r>
  </si>
  <si>
    <r>
      <rPr>
        <sz val="20"/>
        <color rgb="FF000000"/>
        <rFont val="Verdana"/>
        <family val="2"/>
      </rPr>
      <t>150</t>
    </r>
  </si>
  <si>
    <r>
      <rPr>
        <sz val="22"/>
        <color rgb="FF000000"/>
        <rFont val="Verdana"/>
        <family val="2"/>
      </rPr>
      <t>ÉLÉMENTS DE HORS BILAN ET DÉRIVÉS</t>
    </r>
  </si>
  <si>
    <r>
      <rPr>
        <sz val="20"/>
        <color rgb="FF000000"/>
        <rFont val="Verdana"/>
        <family val="2"/>
      </rPr>
      <t>160</t>
    </r>
  </si>
  <si>
    <r>
      <rPr>
        <sz val="22"/>
        <color rgb="FF000000"/>
        <rFont val="Verdana"/>
        <family val="2"/>
      </rPr>
      <t>TITRISATIONS</t>
    </r>
  </si>
  <si>
    <r>
      <rPr>
        <sz val="20"/>
        <color rgb="FF000000"/>
        <rFont val="Verdana"/>
        <family val="2"/>
      </rPr>
      <t>170</t>
    </r>
  </si>
  <si>
    <r>
      <rPr>
        <sz val="22"/>
        <color rgb="FF000000"/>
        <rFont val="Verdana"/>
        <family val="2"/>
      </rPr>
      <t>RETITRISATIONS</t>
    </r>
  </si>
  <si>
    <r>
      <rPr>
        <sz val="20"/>
        <color rgb="FF000000"/>
        <rFont val="Verdana"/>
        <family val="2"/>
      </rPr>
      <t>180</t>
    </r>
  </si>
  <si>
    <r>
      <rPr>
        <b/>
        <sz val="22"/>
        <color rgb="FF000000"/>
        <rFont val="Verdana"/>
        <family val="2"/>
      </rPr>
      <t>SPONSOR: TOTAL DES EXPOSITIONS</t>
    </r>
  </si>
  <si>
    <r>
      <rPr>
        <sz val="20"/>
        <color rgb="FF000000"/>
        <rFont val="Verdana"/>
        <family val="2"/>
      </rPr>
      <t>190</t>
    </r>
  </si>
  <si>
    <r>
      <rPr>
        <sz val="22"/>
        <color rgb="FF000000"/>
        <rFont val="Verdana"/>
        <family val="2"/>
      </rPr>
      <t>ÉLÉMENTS DE BILAN</t>
    </r>
  </si>
  <si>
    <r>
      <rPr>
        <sz val="20"/>
        <color rgb="FF000000"/>
        <rFont val="Verdana"/>
        <family val="2"/>
      </rPr>
      <t>200</t>
    </r>
  </si>
  <si>
    <r>
      <rPr>
        <sz val="22"/>
        <color rgb="FF000000"/>
        <rFont val="Verdana"/>
        <family val="2"/>
      </rPr>
      <t>TITRISATIONS</t>
    </r>
  </si>
  <si>
    <r>
      <rPr>
        <sz val="20"/>
        <color rgb="FF000000"/>
        <rFont val="Verdana"/>
        <family val="2"/>
      </rPr>
      <t>210</t>
    </r>
  </si>
  <si>
    <r>
      <rPr>
        <sz val="22"/>
        <color rgb="FF000000"/>
        <rFont val="Verdana"/>
        <family val="2"/>
      </rPr>
      <t>RETITRISATIONS</t>
    </r>
  </si>
  <si>
    <r>
      <rPr>
        <sz val="20"/>
        <color rgb="FF000000"/>
        <rFont val="Verdana"/>
        <family val="2"/>
      </rPr>
      <t>220</t>
    </r>
  </si>
  <si>
    <r>
      <rPr>
        <sz val="22"/>
        <color rgb="FF000000"/>
        <rFont val="Verdana"/>
        <family val="2"/>
      </rPr>
      <t>ÉLÉMENTS DE HORS BILAN ET DÉRIVÉS</t>
    </r>
  </si>
  <si>
    <r>
      <rPr>
        <sz val="20"/>
        <color rgb="FF000000"/>
        <rFont val="Verdana"/>
        <family val="2"/>
      </rPr>
      <t>230</t>
    </r>
  </si>
  <si>
    <r>
      <rPr>
        <sz val="22"/>
        <color rgb="FF000000"/>
        <rFont val="Verdana"/>
        <family val="2"/>
      </rPr>
      <t>TITRISATIONS</t>
    </r>
  </si>
  <si>
    <r>
      <rPr>
        <sz val="20"/>
        <color rgb="FF000000"/>
        <rFont val="Verdana"/>
        <family val="2"/>
      </rPr>
      <t>240</t>
    </r>
  </si>
  <si>
    <r>
      <rPr>
        <sz val="22"/>
        <color rgb="FF000000"/>
        <rFont val="Verdana"/>
        <family val="2"/>
      </rPr>
      <t>RETITRISATIONS</t>
    </r>
  </si>
  <si>
    <r>
      <rPr>
        <b/>
        <sz val="22"/>
        <color rgb="FF000000"/>
        <rFont val="Verdana"/>
        <family val="2"/>
      </rPr>
      <t>RÉPARTITION DE L'ENCOURS DES POSITIONS PAR EQC AU COMMENCEMENT:</t>
    </r>
  </si>
  <si>
    <r>
      <rPr>
        <sz val="20"/>
        <color rgb="FF000000"/>
        <rFont val="Verdana"/>
        <family val="2"/>
      </rPr>
      <t>250</t>
    </r>
  </si>
  <si>
    <r>
      <rPr>
        <sz val="22"/>
        <color rgb="FF000000"/>
        <rFont val="Verdana"/>
        <family val="2"/>
      </rPr>
      <t xml:space="preserve"> EQC 1</t>
    </r>
  </si>
  <si>
    <r>
      <rPr>
        <sz val="20"/>
        <color rgb="FF000000"/>
        <rFont val="Verdana"/>
        <family val="2"/>
      </rPr>
      <t>260</t>
    </r>
  </si>
  <si>
    <r>
      <rPr>
        <sz val="22"/>
        <color rgb="FF000000"/>
        <rFont val="Verdana"/>
        <family val="2"/>
      </rPr>
      <t xml:space="preserve"> EQC 2</t>
    </r>
  </si>
  <si>
    <r>
      <rPr>
        <sz val="20"/>
        <color rgb="FF000000"/>
        <rFont val="Verdana"/>
        <family val="2"/>
      </rPr>
      <t>270</t>
    </r>
  </si>
  <si>
    <r>
      <rPr>
        <sz val="22"/>
        <color rgb="FF000000"/>
        <rFont val="Verdana"/>
        <family val="2"/>
      </rPr>
      <t xml:space="preserve"> EQC 3</t>
    </r>
  </si>
  <si>
    <r>
      <rPr>
        <sz val="20"/>
        <color rgb="FF000000"/>
        <rFont val="Verdana"/>
        <family val="2"/>
      </rPr>
      <t>280</t>
    </r>
  </si>
  <si>
    <r>
      <rPr>
        <sz val="22"/>
        <color rgb="FF000000"/>
        <rFont val="Verdana"/>
        <family val="2"/>
      </rPr>
      <t xml:space="preserve"> EQC 4</t>
    </r>
  </si>
  <si>
    <r>
      <rPr>
        <sz val="20"/>
        <color rgb="FF000000"/>
        <rFont val="Verdana"/>
        <family val="2"/>
      </rPr>
      <t>290</t>
    </r>
  </si>
  <si>
    <r>
      <rPr>
        <sz val="22"/>
        <color rgb="FF000000"/>
        <rFont val="Verdana"/>
        <family val="2"/>
      </rPr>
      <t xml:space="preserve"> TOUS LES AUTRES EQC ET POSITIONS NON NOTÉES</t>
    </r>
  </si>
  <si>
    <r>
      <rPr>
        <b/>
        <sz val="36"/>
        <color rgb="FF000000"/>
        <rFont val="Verdana"/>
        <family val="2"/>
      </rPr>
      <t xml:space="preserve"> C 13.00 - RISQUE DE CRÉDIT: TITRISATIONS - APPROCHE NI DES EXIGENCES DE FONDS PROPRES (CR SEC IRB)</t>
    </r>
  </si>
  <si>
    <r>
      <rPr>
        <b/>
        <sz val="36"/>
        <color rgb="FF000000"/>
        <rFont val="Verdana"/>
        <family val="2"/>
      </rPr>
      <t xml:space="preserve"> C 13.00 - RISQUE DE CRÉDIT: TITRISATIONS - APPROCHE NI DES EXIGENCES DE FONDS PROPRES (CR SEC IRB)</t>
    </r>
  </si>
  <si>
    <r>
      <rPr>
        <b/>
        <sz val="36"/>
        <color rgb="FF000000"/>
        <rFont val="Verdana"/>
        <family val="2"/>
      </rPr>
      <t xml:space="preserve"> C 13.00 - RISQUE DE CRÉDIT: TITRISATIONS - APPROCHE NI DES EXIGENCES DE FONDS PROPRES (CR SEC IRB)</t>
    </r>
  </si>
  <si>
    <r>
      <rPr>
        <b/>
        <sz val="16"/>
        <rFont val="Verdana"/>
        <family val="2"/>
      </rPr>
      <t>MONTANT TOTAL DES EXPOSITIONS DE TITRISATION INITIÉES</t>
    </r>
  </si>
  <si>
    <r>
      <rPr>
        <b/>
        <sz val="16"/>
        <color rgb="FF000000"/>
        <rFont val="Verdana"/>
        <family val="2"/>
      </rPr>
      <t>TITRISATIONS SYNTHÉTIQUES: PROTECTION DE CRÉDIT SUR LES EXPOSITIONS TITRISÉES</t>
    </r>
  </si>
  <si>
    <r>
      <rPr>
        <b/>
        <sz val="16"/>
        <rFont val="Verdana"/>
        <family val="2"/>
      </rPr>
      <t>POSITIONS DE TITRISATION</t>
    </r>
  </si>
  <si>
    <r>
      <rPr>
        <b/>
        <sz val="16"/>
        <rFont val="Verdana"/>
        <family val="2"/>
      </rPr>
      <t>TECHNIQUES D'ATTÉNUATION DU RISQUE DE CRÉDIT (ARC) AVEC EFFETS DE SUBSTITUTION SUR L'EXPOSITION</t>
    </r>
  </si>
  <si>
    <r>
      <rPr>
        <b/>
        <sz val="16"/>
        <rFont val="Verdana"/>
        <family val="2"/>
      </rPr>
      <t>EXPOSITION APRÈS EFFETS DE SUBSTITUTION ARC ET AVANT APPLICATION DES FACTEURS DE CONVERSION</t>
    </r>
  </si>
  <si>
    <r>
      <rPr>
        <b/>
        <sz val="16"/>
        <rFont val="Verdana"/>
        <family val="2"/>
      </rPr>
      <t>(-) TECHNIQUES D’ATTÉNUATION DU RISQUE DE CRÉDIT MODIFIANT LE MONTANT DE L’EXPOSITION: VALEUR CORRIGÉE SELON LA MÉTHODE GÉNÉRALE FONDÉE SUR LES SÛRETÉS FINANCIÈRES POUR LA PROTECTION DE CRÉDIT FINANCÉE (Cvam)</t>
    </r>
  </si>
  <si>
    <r>
      <rPr>
        <b/>
        <sz val="16"/>
        <rFont val="Verdana"/>
        <family val="2"/>
      </rPr>
      <t>VALEUR EXPOSÉE AU RISQUE PLEINEMENT AJUSTÉE (E*)</t>
    </r>
  </si>
  <si>
    <r>
      <rPr>
        <b/>
        <sz val="16"/>
        <rFont val="Verdana"/>
        <family val="2"/>
      </rPr>
      <t>RÉPARTITION DE LA VALEUR EXPOSÉE AU RISQUE PLEINEMENT AJUSTÉE (E*) DES ÉLÉMENTS DE HORS BILAN PAR FACTEUR DE CONVERSION</t>
    </r>
  </si>
  <si>
    <r>
      <rPr>
        <b/>
        <sz val="16"/>
        <rFont val="Verdana"/>
        <family val="2"/>
      </rPr>
      <t xml:space="preserve">VALEUR EXPOSÉE AU RISQUE </t>
    </r>
  </si>
  <si>
    <r>
      <rPr>
        <b/>
        <sz val="16"/>
        <rFont val="Verdana"/>
        <family val="2"/>
      </rPr>
      <t>RÉPARTITION DE LA VALEUR EXPOSÉE AU RISQUE FAISANT L'OBJET DE PONDÉRATIONS</t>
    </r>
  </si>
  <si>
    <r>
      <rPr>
        <b/>
        <sz val="16"/>
        <rFont val="Verdana"/>
        <family val="2"/>
      </rPr>
      <t>(-) RÉDUCTION DU MONTANT D’EXPOSITION PONDÉRÉ SUITE À DES CORRECTIONS DE VALEUR ET PROVISIONS</t>
    </r>
  </si>
  <si>
    <r>
      <rPr>
        <b/>
        <sz val="16"/>
        <color rgb="FF000000"/>
        <rFont val="Verdana"/>
        <family val="2"/>
      </rPr>
      <t>MONTANT D’EXPOSITION PONDÉRÉ</t>
    </r>
  </si>
  <si>
    <r>
      <rPr>
        <b/>
        <sz val="16"/>
        <rFont val="Verdana"/>
        <family val="2"/>
      </rPr>
      <t>EFFET GLOBAL (AJUSTEMENT) LIÉ AU MANQUEMENT AUX DISPOSITIONS EN MATIÈRE DE DILIGENCE APPROPRIÉE</t>
    </r>
  </si>
  <si>
    <r>
      <rPr>
        <b/>
        <sz val="16"/>
        <rFont val="Verdana"/>
        <family val="2"/>
      </rPr>
      <t>AJUSTEMENT DU MONTANT D’EXPOSITION PONDÉRÉ DU FAIT D’UNE ASYMÉTRIE D’ÉCHÉANCES</t>
    </r>
  </si>
  <si>
    <r>
      <rPr>
        <b/>
        <sz val="16"/>
        <rFont val="Verdana"/>
        <family val="2"/>
      </rPr>
      <t>MONTANT TOTAL D'EXPOSITION PONDÉRÉ</t>
    </r>
  </si>
  <si>
    <r>
      <rPr>
        <b/>
        <sz val="16"/>
        <rFont val="Verdana"/>
        <family val="2"/>
      </rPr>
      <t xml:space="preserve">POUR MÉMOIRE:
MONTANT D’EXPOSITION PONDÉRÉ CORRESPONDANT AUX SORTIES DE LA TITRISATION NI VERS D’AUTRES CATÉGORIES D’EXPOSITION </t>
    </r>
  </si>
  <si>
    <r>
      <rPr>
        <b/>
        <sz val="16"/>
        <rFont val="Verdana"/>
        <family val="2"/>
      </rPr>
      <t>(-) PROTECTION DE CRÉDIT FINANCÉE (Cva)</t>
    </r>
  </si>
  <si>
    <r>
      <rPr>
        <b/>
        <sz val="16"/>
        <rFont val="Verdana"/>
        <family val="2"/>
      </rPr>
      <t xml:space="preserve"> (-) TOTAL SORTIES </t>
    </r>
  </si>
  <si>
    <r>
      <rPr>
        <b/>
        <sz val="16"/>
        <color rgb="FF000000"/>
        <rFont val="Verdana"/>
        <family val="2"/>
      </rPr>
      <t>MONTANT NOTIONNEL DE PROTECTION DE CRÉDIT CONSERVÉ OU RACHETÉ</t>
    </r>
  </si>
  <si>
    <r>
      <rPr>
        <b/>
        <sz val="16"/>
        <rFont val="Verdana"/>
        <family val="2"/>
      </rPr>
      <t>EXPOSITION INITIALE AVANT APPLICATION DES FACTEURS DE CONVERSION</t>
    </r>
  </si>
  <si>
    <r>
      <rPr>
        <b/>
        <sz val="16"/>
        <rFont val="Verdana"/>
        <family val="2"/>
      </rPr>
      <t>(-) PROTECTION DE CRÉDIT NON FINANCÉE: VALEURS CORRIGÉES (Ga)</t>
    </r>
  </si>
  <si>
    <r>
      <rPr>
        <b/>
        <sz val="16"/>
        <rFont val="Verdana"/>
        <family val="2"/>
      </rPr>
      <t>(-) PROTECTION DE CRÉDIT FINANCÉE</t>
    </r>
  </si>
  <si>
    <r>
      <rPr>
        <b/>
        <sz val="16"/>
        <rFont val="Verdana"/>
        <family val="2"/>
      </rPr>
      <t>SUBSTITUTION DE L’EXPOSITION DUE À L’ARC:</t>
    </r>
  </si>
  <si>
    <r>
      <rPr>
        <b/>
        <sz val="16"/>
        <rFont val="Verdana"/>
        <family val="2"/>
      </rPr>
      <t>&gt; 0 % et &lt;= 20 %</t>
    </r>
  </si>
  <si>
    <r>
      <rPr>
        <b/>
        <sz val="16"/>
        <rFont val="Verdana"/>
        <family val="2"/>
      </rPr>
      <t>&gt; 20 % et &lt;= 50 %</t>
    </r>
  </si>
  <si>
    <r>
      <rPr>
        <b/>
        <sz val="16"/>
        <rFont val="Verdana"/>
        <family val="2"/>
      </rPr>
      <t>&gt; 50 % et &lt;= 100 %</t>
    </r>
  </si>
  <si>
    <r>
      <rPr>
        <b/>
        <sz val="16"/>
        <rFont val="Verdana"/>
        <family val="2"/>
      </rPr>
      <t>(-) DÉDUITE DES FONDS PROPRES</t>
    </r>
  </si>
  <si>
    <r>
      <rPr>
        <b/>
        <sz val="16"/>
        <rFont val="Verdana"/>
        <family val="2"/>
      </rPr>
      <t>FAISANT L'OBJET DE PONDÉRATIONS</t>
    </r>
  </si>
  <si>
    <r>
      <rPr>
        <b/>
        <sz val="16"/>
        <rFont val="Verdana"/>
        <family val="2"/>
      </rPr>
      <t>MÉTHODE FONDÉE SUR LES NOTATIONS
(ÉCHELONS DE QUALITÉ DE CRÉDIT - EQC)</t>
    </r>
  </si>
  <si>
    <r>
      <rPr>
        <b/>
        <sz val="16"/>
        <rFont val="Verdana"/>
        <family val="2"/>
      </rPr>
      <t>MÉTHODE DE LA FORMULE PRUDENTIELLE</t>
    </r>
  </si>
  <si>
    <r>
      <rPr>
        <b/>
        <sz val="16"/>
        <rFont val="Verdana"/>
        <family val="2"/>
      </rPr>
      <t xml:space="preserve"> APPROCHE PAR TRANSPARENCE</t>
    </r>
  </si>
  <si>
    <r>
      <rPr>
        <b/>
        <sz val="16"/>
        <rFont val="Verdana"/>
        <family val="2"/>
      </rPr>
      <t xml:space="preserve"> APPROCHE PAR ÉVALUATION INTERNE</t>
    </r>
  </si>
  <si>
    <r>
      <rPr>
        <b/>
        <sz val="16"/>
        <rFont val="Verdana"/>
        <family val="2"/>
      </rPr>
      <t>(-) VALEURS CORRIGÉES DE PROTECTION DE CRÉDIT NON FINANCÉE (G*)</t>
    </r>
  </si>
  <si>
    <r>
      <rPr>
        <b/>
        <sz val="16"/>
        <rFont val="Verdana"/>
        <family val="2"/>
      </rPr>
      <t xml:space="preserve">(-) TOTAL SORTIES </t>
    </r>
  </si>
  <si>
    <r>
      <rPr>
        <b/>
        <sz val="16"/>
        <rFont val="Verdana"/>
        <family val="2"/>
      </rPr>
      <t>TOTAL ENTRÉES</t>
    </r>
  </si>
  <si>
    <r>
      <rPr>
        <b/>
        <sz val="16"/>
        <rFont val="Verdana"/>
        <family val="2"/>
      </rPr>
      <t>EQC 1 &amp; EQC 1 CT</t>
    </r>
  </si>
  <si>
    <r>
      <rPr>
        <b/>
        <sz val="16"/>
        <rFont val="Verdana"/>
        <family val="2"/>
      </rPr>
      <t>EQC 2</t>
    </r>
  </si>
  <si>
    <r>
      <rPr>
        <b/>
        <sz val="16"/>
        <rFont val="Verdana"/>
        <family val="2"/>
      </rPr>
      <t>EQC 3</t>
    </r>
  </si>
  <si>
    <r>
      <rPr>
        <b/>
        <sz val="16"/>
        <rFont val="Verdana"/>
        <family val="2"/>
      </rPr>
      <t>EQC 4 &amp; EQC 2 CT</t>
    </r>
  </si>
  <si>
    <r>
      <rPr>
        <b/>
        <sz val="16"/>
        <rFont val="Verdana"/>
        <family val="2"/>
      </rPr>
      <t>EQC 5</t>
    </r>
  </si>
  <si>
    <r>
      <rPr>
        <b/>
        <sz val="16"/>
        <rFont val="Verdana"/>
        <family val="2"/>
      </rPr>
      <t>EQC 6</t>
    </r>
  </si>
  <si>
    <r>
      <rPr>
        <b/>
        <sz val="16"/>
        <rFont val="Verdana"/>
        <family val="2"/>
      </rPr>
      <t>EQC 7 &amp; EQC 3 CT</t>
    </r>
  </si>
  <si>
    <r>
      <rPr>
        <b/>
        <sz val="16"/>
        <rFont val="Verdana"/>
        <family val="2"/>
      </rPr>
      <t>EQC 8</t>
    </r>
  </si>
  <si>
    <r>
      <rPr>
        <b/>
        <sz val="16"/>
        <rFont val="Verdana"/>
        <family val="2"/>
      </rPr>
      <t>EQC 9</t>
    </r>
  </si>
  <si>
    <r>
      <rPr>
        <b/>
        <sz val="16"/>
        <rFont val="Verdana"/>
        <family val="2"/>
      </rPr>
      <t>EQC 10</t>
    </r>
  </si>
  <si>
    <r>
      <rPr>
        <b/>
        <sz val="16"/>
        <rFont val="Verdana"/>
        <family val="2"/>
      </rPr>
      <t>EQC 11</t>
    </r>
  </si>
  <si>
    <r>
      <rPr>
        <b/>
        <sz val="16"/>
        <rFont val="Verdana"/>
        <family val="2"/>
      </rPr>
      <t>TOUS LES AUTRES EQC</t>
    </r>
  </si>
  <si>
    <r>
      <rPr>
        <b/>
        <sz val="16"/>
        <rFont val="Verdana"/>
        <family val="2"/>
      </rPr>
      <t>POSITIONS NON NOTÉES</t>
    </r>
  </si>
  <si>
    <r>
      <rPr>
        <b/>
        <sz val="16"/>
        <rFont val="Verdana"/>
        <family val="2"/>
      </rPr>
      <t>PONDÉRATION MOYENNE (%)</t>
    </r>
  </si>
  <si>
    <r>
      <rPr>
        <b/>
        <sz val="16"/>
        <rFont val="Verdana"/>
        <family val="2"/>
      </rPr>
      <t>PONDÉRATION MOYENNE (%)</t>
    </r>
  </si>
  <si>
    <r>
      <rPr>
        <b/>
        <sz val="16"/>
        <rFont val="Verdana"/>
        <family val="2"/>
      </rPr>
      <t>PONDÉRATION MOYENNE (%)</t>
    </r>
  </si>
  <si>
    <r>
      <rPr>
        <b/>
        <sz val="16"/>
        <color rgb="FF000000"/>
        <rFont val="Verdana"/>
        <family val="2"/>
      </rPr>
      <t>DONT: TITRISATIONS SYNTHÉTIQUES</t>
    </r>
  </si>
  <si>
    <r>
      <rPr>
        <b/>
        <sz val="16"/>
        <rFont val="Verdana"/>
        <family val="2"/>
      </rPr>
      <t>AVANT APPLICATION DU PLAFOND</t>
    </r>
  </si>
  <si>
    <r>
      <rPr>
        <b/>
        <sz val="16"/>
        <rFont val="Verdana"/>
        <family val="2"/>
      </rPr>
      <t>APRÈS APPLICATION DU PLAFOND</t>
    </r>
  </si>
  <si>
    <r>
      <rPr>
        <sz val="20"/>
        <rFont val="Verdana"/>
        <family val="2"/>
      </rPr>
      <t>010</t>
    </r>
  </si>
  <si>
    <r>
      <rPr>
        <sz val="20"/>
        <rFont val="Verdana"/>
        <family val="2"/>
      </rPr>
      <t>020</t>
    </r>
  </si>
  <si>
    <r>
      <rPr>
        <sz val="20"/>
        <rFont val="Verdana"/>
        <family val="2"/>
      </rPr>
      <t>030</t>
    </r>
  </si>
  <si>
    <r>
      <rPr>
        <sz val="20"/>
        <rFont val="Verdana"/>
        <family val="2"/>
      </rPr>
      <t>040</t>
    </r>
  </si>
  <si>
    <r>
      <rPr>
        <sz val="20"/>
        <rFont val="Verdana"/>
        <family val="2"/>
      </rPr>
      <t>050</t>
    </r>
  </si>
  <si>
    <r>
      <rPr>
        <sz val="20"/>
        <rFont val="Verdana"/>
        <family val="2"/>
      </rPr>
      <t>060</t>
    </r>
  </si>
  <si>
    <r>
      <rPr>
        <sz val="20"/>
        <rFont val="Verdana"/>
        <family val="2"/>
      </rPr>
      <t>070</t>
    </r>
  </si>
  <si>
    <r>
      <rPr>
        <sz val="20"/>
        <rFont val="Verdana"/>
        <family val="2"/>
      </rPr>
      <t>080</t>
    </r>
  </si>
  <si>
    <r>
      <rPr>
        <sz val="20"/>
        <rFont val="Verdana"/>
        <family val="2"/>
      </rPr>
      <t>090</t>
    </r>
  </si>
  <si>
    <r>
      <rPr>
        <sz val="20"/>
        <rFont val="Verdana"/>
        <family val="2"/>
      </rPr>
      <t>100</t>
    </r>
  </si>
  <si>
    <r>
      <rPr>
        <sz val="20"/>
        <rFont val="Verdana"/>
        <family val="2"/>
      </rPr>
      <t>110</t>
    </r>
  </si>
  <si>
    <r>
      <rPr>
        <sz val="20"/>
        <rFont val="Verdana"/>
        <family val="2"/>
      </rPr>
      <t>120</t>
    </r>
  </si>
  <si>
    <r>
      <rPr>
        <sz val="20"/>
        <rFont val="Verdana"/>
        <family val="2"/>
      </rPr>
      <t>130</t>
    </r>
  </si>
  <si>
    <r>
      <rPr>
        <sz val="20"/>
        <rFont val="Verdana"/>
        <family val="2"/>
      </rPr>
      <t>140</t>
    </r>
  </si>
  <si>
    <r>
      <rPr>
        <sz val="20"/>
        <rFont val="Verdana"/>
        <family val="2"/>
      </rPr>
      <t>150</t>
    </r>
  </si>
  <si>
    <r>
      <rPr>
        <sz val="20"/>
        <rFont val="Verdana"/>
        <family val="2"/>
      </rPr>
      <t>160</t>
    </r>
  </si>
  <si>
    <r>
      <rPr>
        <sz val="20"/>
        <rFont val="Verdana"/>
        <family val="2"/>
      </rPr>
      <t>170</t>
    </r>
  </si>
  <si>
    <r>
      <rPr>
        <sz val="20"/>
        <rFont val="Verdana"/>
        <family val="2"/>
      </rPr>
      <t>180</t>
    </r>
  </si>
  <si>
    <r>
      <rPr>
        <sz val="20"/>
        <rFont val="Verdana"/>
        <family val="2"/>
      </rPr>
      <t>190</t>
    </r>
  </si>
  <si>
    <r>
      <rPr>
        <sz val="20"/>
        <rFont val="Verdana"/>
        <family val="2"/>
      </rPr>
      <t>200</t>
    </r>
  </si>
  <si>
    <r>
      <rPr>
        <sz val="20"/>
        <rFont val="Verdana"/>
        <family val="2"/>
      </rPr>
      <t>210</t>
    </r>
  </si>
  <si>
    <r>
      <rPr>
        <sz val="20"/>
        <rFont val="Verdana"/>
        <family val="2"/>
      </rPr>
      <t>220</t>
    </r>
  </si>
  <si>
    <r>
      <rPr>
        <sz val="20"/>
        <rFont val="Verdana"/>
        <family val="2"/>
      </rPr>
      <t>230</t>
    </r>
  </si>
  <si>
    <r>
      <rPr>
        <sz val="20"/>
        <rFont val="Verdana"/>
        <family val="2"/>
      </rPr>
      <t>240</t>
    </r>
  </si>
  <si>
    <r>
      <rPr>
        <sz val="20"/>
        <rFont val="Verdana"/>
        <family val="2"/>
      </rPr>
      <t>250</t>
    </r>
  </si>
  <si>
    <r>
      <rPr>
        <sz val="20"/>
        <rFont val="Verdana"/>
        <family val="2"/>
      </rPr>
      <t>260</t>
    </r>
  </si>
  <si>
    <r>
      <rPr>
        <sz val="20"/>
        <rFont val="Verdana"/>
        <family val="2"/>
      </rPr>
      <t>270</t>
    </r>
  </si>
  <si>
    <r>
      <rPr>
        <sz val="20"/>
        <rFont val="Verdana"/>
        <family val="2"/>
      </rPr>
      <t>280</t>
    </r>
  </si>
  <si>
    <r>
      <rPr>
        <sz val="20"/>
        <rFont val="Verdana"/>
        <family val="2"/>
      </rPr>
      <t>290</t>
    </r>
  </si>
  <si>
    <r>
      <rPr>
        <sz val="20"/>
        <rFont val="Verdana"/>
        <family val="2"/>
      </rPr>
      <t>300</t>
    </r>
  </si>
  <si>
    <r>
      <rPr>
        <sz val="20"/>
        <rFont val="Verdana"/>
        <family val="2"/>
      </rPr>
      <t>310</t>
    </r>
  </si>
  <si>
    <r>
      <rPr>
        <sz val="20"/>
        <rFont val="Verdana"/>
        <family val="2"/>
      </rPr>
      <t>320</t>
    </r>
  </si>
  <si>
    <r>
      <rPr>
        <sz val="20"/>
        <rFont val="Verdana"/>
        <family val="2"/>
      </rPr>
      <t>330</t>
    </r>
  </si>
  <si>
    <r>
      <rPr>
        <sz val="20"/>
        <rFont val="Verdana"/>
        <family val="2"/>
      </rPr>
      <t>340</t>
    </r>
  </si>
  <si>
    <r>
      <rPr>
        <sz val="20"/>
        <rFont val="Verdana"/>
        <family val="2"/>
      </rPr>
      <t>350</t>
    </r>
  </si>
  <si>
    <r>
      <rPr>
        <sz val="20"/>
        <rFont val="Verdana"/>
        <family val="2"/>
      </rPr>
      <t>360</t>
    </r>
  </si>
  <si>
    <r>
      <rPr>
        <sz val="20"/>
        <rFont val="Verdana"/>
        <family val="2"/>
      </rPr>
      <t>370</t>
    </r>
  </si>
  <si>
    <r>
      <rPr>
        <sz val="20"/>
        <rFont val="Verdana"/>
        <family val="2"/>
      </rPr>
      <t>380</t>
    </r>
  </si>
  <si>
    <r>
      <rPr>
        <sz val="20"/>
        <rFont val="Verdana"/>
        <family val="2"/>
      </rPr>
      <t>390</t>
    </r>
  </si>
  <si>
    <r>
      <rPr>
        <sz val="20"/>
        <rFont val="Verdana"/>
        <family val="2"/>
      </rPr>
      <t>400</t>
    </r>
  </si>
  <si>
    <r>
      <rPr>
        <sz val="20"/>
        <rFont val="Verdana"/>
        <family val="2"/>
      </rPr>
      <t>410</t>
    </r>
  </si>
  <si>
    <r>
      <rPr>
        <sz val="20"/>
        <rFont val="Verdana"/>
        <family val="2"/>
      </rPr>
      <t>420</t>
    </r>
  </si>
  <si>
    <r>
      <rPr>
        <sz val="20"/>
        <rFont val="Verdana"/>
        <family val="2"/>
      </rPr>
      <t>430</t>
    </r>
  </si>
  <si>
    <r>
      <rPr>
        <sz val="20"/>
        <rFont val="Verdana"/>
        <family val="2"/>
      </rPr>
      <t>440</t>
    </r>
  </si>
  <si>
    <r>
      <rPr>
        <sz val="20"/>
        <rFont val="Verdana"/>
        <family val="2"/>
      </rPr>
      <t>450</t>
    </r>
  </si>
  <si>
    <r>
      <rPr>
        <sz val="20"/>
        <rFont val="Verdana"/>
        <family val="2"/>
      </rPr>
      <t>460</t>
    </r>
  </si>
  <si>
    <r>
      <rPr>
        <sz val="20"/>
        <color rgb="FF000000"/>
        <rFont val="Verdana"/>
        <family val="2"/>
      </rPr>
      <t>010</t>
    </r>
  </si>
  <si>
    <r>
      <rPr>
        <b/>
        <sz val="26"/>
        <color rgb="FF000000"/>
        <rFont val="Verdana"/>
        <family val="2"/>
      </rPr>
      <t>TOTAL DES EXPOSITIONS</t>
    </r>
  </si>
  <si>
    <r>
      <rPr>
        <sz val="18"/>
        <rFont val="Verdana"/>
        <family val="2"/>
      </rPr>
      <t>Cellule liée à l'état CA</t>
    </r>
  </si>
  <si>
    <r>
      <rPr>
        <sz val="20"/>
        <color rgb="FF000000"/>
        <rFont val="Verdana"/>
        <family val="2"/>
      </rPr>
      <t>020</t>
    </r>
  </si>
  <si>
    <r>
      <rPr>
        <sz val="22"/>
        <color rgb="FF000000"/>
        <rFont val="Verdana"/>
        <family val="2"/>
      </rPr>
      <t>DONT: RETITRISATIONS</t>
    </r>
  </si>
  <si>
    <r>
      <rPr>
        <sz val="18"/>
        <rFont val="Verdana"/>
        <family val="2"/>
      </rPr>
      <t>Cellule liée à l'état CA</t>
    </r>
  </si>
  <si>
    <r>
      <rPr>
        <sz val="20"/>
        <color rgb="FF000000"/>
        <rFont val="Verdana"/>
        <family val="2"/>
      </rPr>
      <t>030</t>
    </r>
  </si>
  <si>
    <r>
      <rPr>
        <b/>
        <sz val="22"/>
        <color rgb="FF000000"/>
        <rFont val="Verdana"/>
        <family val="2"/>
      </rPr>
      <t>INITIATEUR: TOTAL DES EXPOSITIONS</t>
    </r>
  </si>
  <si>
    <r>
      <rPr>
        <sz val="20"/>
        <color rgb="FF000000"/>
        <rFont val="Verdana"/>
        <family val="2"/>
      </rPr>
      <t>040</t>
    </r>
  </si>
  <si>
    <r>
      <rPr>
        <sz val="22"/>
        <color rgb="FF000000"/>
        <rFont val="Verdana"/>
        <family val="2"/>
      </rPr>
      <t>ÉLÉMENTS DE BILAN</t>
    </r>
  </si>
  <si>
    <r>
      <rPr>
        <sz val="20"/>
        <color rgb="FF000000"/>
        <rFont val="Verdana"/>
        <family val="2"/>
      </rPr>
      <t>050</t>
    </r>
  </si>
  <si>
    <r>
      <rPr>
        <sz val="22"/>
        <color rgb="FF000000"/>
        <rFont val="Verdana"/>
        <family val="2"/>
      </rPr>
      <t>TITRISATIONS</t>
    </r>
  </si>
  <si>
    <r>
      <rPr>
        <sz val="22"/>
        <color rgb="FF000000"/>
        <rFont val="Verdana"/>
        <family val="2"/>
      </rPr>
      <t>A</t>
    </r>
  </si>
  <si>
    <r>
      <rPr>
        <sz val="20"/>
        <color rgb="FF000000"/>
        <rFont val="Verdana"/>
        <family val="2"/>
      </rPr>
      <t>060</t>
    </r>
  </si>
  <si>
    <r>
      <rPr>
        <sz val="22"/>
        <color rgb="FF000000"/>
        <rFont val="Verdana"/>
        <family val="2"/>
      </rPr>
      <t>B</t>
    </r>
  </si>
  <si>
    <r>
      <rPr>
        <sz val="20"/>
        <color rgb="FF000000"/>
        <rFont val="Verdana"/>
        <family val="2"/>
      </rPr>
      <t>070</t>
    </r>
  </si>
  <si>
    <r>
      <rPr>
        <sz val="22"/>
        <color rgb="FF000000"/>
        <rFont val="Verdana"/>
        <family val="2"/>
      </rPr>
      <t>C</t>
    </r>
  </si>
  <si>
    <r>
      <rPr>
        <sz val="20"/>
        <color rgb="FF000000"/>
        <rFont val="Verdana"/>
        <family val="2"/>
      </rPr>
      <t>080</t>
    </r>
  </si>
  <si>
    <r>
      <rPr>
        <sz val="22"/>
        <color rgb="FF000000"/>
        <rFont val="Verdana"/>
        <family val="2"/>
      </rPr>
      <t>RETITRISATIONS</t>
    </r>
  </si>
  <si>
    <r>
      <rPr>
        <sz val="22"/>
        <color rgb="FF000000"/>
        <rFont val="Verdana"/>
        <family val="2"/>
      </rPr>
      <t>D</t>
    </r>
  </si>
  <si>
    <r>
      <rPr>
        <sz val="20"/>
        <color rgb="FF000000"/>
        <rFont val="Verdana"/>
        <family val="2"/>
      </rPr>
      <t>090</t>
    </r>
  </si>
  <si>
    <r>
      <rPr>
        <sz val="22"/>
        <color rgb="FF000000"/>
        <rFont val="Verdana"/>
        <family val="2"/>
      </rPr>
      <t>E</t>
    </r>
  </si>
  <si>
    <r>
      <rPr>
        <sz val="20"/>
        <color rgb="FF000000"/>
        <rFont val="Verdana"/>
        <family val="2"/>
      </rPr>
      <t>100</t>
    </r>
  </si>
  <si>
    <r>
      <rPr>
        <sz val="22"/>
        <color rgb="FF000000"/>
        <rFont val="Verdana"/>
        <family val="2"/>
      </rPr>
      <t>ÉLÉMENTS DE HORS BILAN ET DÉRIVÉS</t>
    </r>
  </si>
  <si>
    <r>
      <rPr>
        <sz val="20"/>
        <color rgb="FF000000"/>
        <rFont val="Verdana"/>
        <family val="2"/>
      </rPr>
      <t>110</t>
    </r>
  </si>
  <si>
    <r>
      <rPr>
        <sz val="22"/>
        <color rgb="FF000000"/>
        <rFont val="Verdana"/>
        <family val="2"/>
      </rPr>
      <t>TITRISATIONS</t>
    </r>
  </si>
  <si>
    <r>
      <rPr>
        <sz val="22"/>
        <color rgb="FF000000"/>
        <rFont val="Verdana"/>
        <family val="2"/>
      </rPr>
      <t>A</t>
    </r>
  </si>
  <si>
    <r>
      <rPr>
        <sz val="20"/>
        <color rgb="FF000000"/>
        <rFont val="Verdana"/>
        <family val="2"/>
      </rPr>
      <t>120</t>
    </r>
  </si>
  <si>
    <r>
      <rPr>
        <sz val="22"/>
        <color rgb="FF000000"/>
        <rFont val="Verdana"/>
        <family val="2"/>
      </rPr>
      <t>B</t>
    </r>
  </si>
  <si>
    <r>
      <rPr>
        <sz val="20"/>
        <color rgb="FF000000"/>
        <rFont val="Verdana"/>
        <family val="2"/>
      </rPr>
      <t>130</t>
    </r>
  </si>
  <si>
    <r>
      <rPr>
        <sz val="22"/>
        <color rgb="FF000000"/>
        <rFont val="Verdana"/>
        <family val="2"/>
      </rPr>
      <t>C</t>
    </r>
  </si>
  <si>
    <r>
      <rPr>
        <sz val="20"/>
        <color rgb="FF000000"/>
        <rFont val="Verdana"/>
        <family val="2"/>
      </rPr>
      <t>140</t>
    </r>
  </si>
  <si>
    <r>
      <rPr>
        <sz val="22"/>
        <color rgb="FF000000"/>
        <rFont val="Verdana"/>
        <family val="2"/>
      </rPr>
      <t>RETITRISATIONS</t>
    </r>
  </si>
  <si>
    <r>
      <rPr>
        <sz val="22"/>
        <color rgb="FF000000"/>
        <rFont val="Verdana"/>
        <family val="2"/>
      </rPr>
      <t>D</t>
    </r>
  </si>
  <si>
    <r>
      <rPr>
        <sz val="20"/>
        <color rgb="FF000000"/>
        <rFont val="Verdana"/>
        <family val="2"/>
      </rPr>
      <t>150</t>
    </r>
  </si>
  <si>
    <r>
      <rPr>
        <sz val="22"/>
        <color rgb="FF000000"/>
        <rFont val="Verdana"/>
        <family val="2"/>
      </rPr>
      <t>E</t>
    </r>
  </si>
  <si>
    <r>
      <rPr>
        <sz val="20"/>
        <color rgb="FF000000"/>
        <rFont val="Verdana"/>
        <family val="2"/>
      </rPr>
      <t>160</t>
    </r>
  </si>
  <si>
    <r>
      <rPr>
        <sz val="22"/>
        <color rgb="FF000000"/>
        <rFont val="Verdana"/>
        <family val="2"/>
      </rPr>
      <t>REMBOURSEMENT ANTICIPÉ</t>
    </r>
  </si>
  <si>
    <r>
      <rPr>
        <sz val="20"/>
        <rFont val="Verdana"/>
        <family val="2"/>
      </rPr>
      <t>170</t>
    </r>
  </si>
  <si>
    <r>
      <rPr>
        <b/>
        <sz val="22"/>
        <color rgb="FF000000"/>
        <rFont val="Verdana"/>
        <family val="2"/>
      </rPr>
      <t>INVESTISSEUR: TOTAL DES EXPOSITIONS</t>
    </r>
  </si>
  <si>
    <r>
      <rPr>
        <sz val="20"/>
        <color rgb="FF000000"/>
        <rFont val="Verdana"/>
        <family val="2"/>
      </rPr>
      <t>180</t>
    </r>
  </si>
  <si>
    <r>
      <rPr>
        <sz val="22"/>
        <color rgb="FF000000"/>
        <rFont val="Verdana"/>
        <family val="2"/>
      </rPr>
      <t>ÉLÉMENTS DE BILAN</t>
    </r>
  </si>
  <si>
    <r>
      <rPr>
        <sz val="20"/>
        <color rgb="FF000000"/>
        <rFont val="Verdana"/>
        <family val="2"/>
      </rPr>
      <t>190</t>
    </r>
  </si>
  <si>
    <r>
      <rPr>
        <sz val="22"/>
        <color rgb="FF000000"/>
        <rFont val="Verdana"/>
        <family val="2"/>
      </rPr>
      <t>TITRISATIONS</t>
    </r>
  </si>
  <si>
    <r>
      <rPr>
        <sz val="22"/>
        <color rgb="FF000000"/>
        <rFont val="Verdana"/>
        <family val="2"/>
      </rPr>
      <t>A</t>
    </r>
  </si>
  <si>
    <r>
      <rPr>
        <sz val="20"/>
        <color rgb="FF000000"/>
        <rFont val="Verdana"/>
        <family val="2"/>
      </rPr>
      <t>200</t>
    </r>
  </si>
  <si>
    <r>
      <rPr>
        <sz val="22"/>
        <color rgb="FF000000"/>
        <rFont val="Verdana"/>
        <family val="2"/>
      </rPr>
      <t>B</t>
    </r>
  </si>
  <si>
    <r>
      <rPr>
        <sz val="20"/>
        <color rgb="FF000000"/>
        <rFont val="Verdana"/>
        <family val="2"/>
      </rPr>
      <t>210</t>
    </r>
  </si>
  <si>
    <r>
      <rPr>
        <sz val="22"/>
        <color rgb="FF000000"/>
        <rFont val="Verdana"/>
        <family val="2"/>
      </rPr>
      <t>C</t>
    </r>
  </si>
  <si>
    <r>
      <rPr>
        <sz val="20"/>
        <color rgb="FF000000"/>
        <rFont val="Verdana"/>
        <family val="2"/>
      </rPr>
      <t>220</t>
    </r>
  </si>
  <si>
    <r>
      <rPr>
        <sz val="22"/>
        <color rgb="FF000000"/>
        <rFont val="Verdana"/>
        <family val="2"/>
      </rPr>
      <t>RETITRISATIONS</t>
    </r>
  </si>
  <si>
    <r>
      <rPr>
        <sz val="22"/>
        <color rgb="FF000000"/>
        <rFont val="Verdana"/>
        <family val="2"/>
      </rPr>
      <t>D</t>
    </r>
  </si>
  <si>
    <r>
      <rPr>
        <sz val="20"/>
        <color rgb="FF000000"/>
        <rFont val="Verdana"/>
        <family val="2"/>
      </rPr>
      <t>230</t>
    </r>
  </si>
  <si>
    <r>
      <rPr>
        <sz val="22"/>
        <color rgb="FF000000"/>
        <rFont val="Verdana"/>
        <family val="2"/>
      </rPr>
      <t>E</t>
    </r>
  </si>
  <si>
    <r>
      <rPr>
        <sz val="20"/>
        <color rgb="FF000000"/>
        <rFont val="Verdana"/>
        <family val="2"/>
      </rPr>
      <t>240</t>
    </r>
  </si>
  <si>
    <r>
      <rPr>
        <sz val="22"/>
        <color rgb="FF000000"/>
        <rFont val="Verdana"/>
        <family val="2"/>
      </rPr>
      <t>ÉLÉMENTS DE HORS BILAN ET DÉRIVÉS</t>
    </r>
  </si>
  <si>
    <r>
      <rPr>
        <sz val="20"/>
        <color rgb="FF000000"/>
        <rFont val="Verdana"/>
        <family val="2"/>
      </rPr>
      <t>250</t>
    </r>
  </si>
  <si>
    <r>
      <rPr>
        <sz val="22"/>
        <color rgb="FF000000"/>
        <rFont val="Verdana"/>
        <family val="2"/>
      </rPr>
      <t>TITRISATIONS</t>
    </r>
  </si>
  <si>
    <r>
      <rPr>
        <sz val="22"/>
        <color rgb="FF000000"/>
        <rFont val="Verdana"/>
        <family val="2"/>
      </rPr>
      <t>A</t>
    </r>
  </si>
  <si>
    <r>
      <rPr>
        <sz val="20"/>
        <color rgb="FF000000"/>
        <rFont val="Verdana"/>
        <family val="2"/>
      </rPr>
      <t>260</t>
    </r>
  </si>
  <si>
    <r>
      <rPr>
        <sz val="22"/>
        <color rgb="FF000000"/>
        <rFont val="Verdana"/>
        <family val="2"/>
      </rPr>
      <t>B</t>
    </r>
  </si>
  <si>
    <r>
      <rPr>
        <sz val="20"/>
        <color rgb="FF000000"/>
        <rFont val="Verdana"/>
        <family val="2"/>
      </rPr>
      <t>270</t>
    </r>
  </si>
  <si>
    <r>
      <rPr>
        <sz val="22"/>
        <color rgb="FF000000"/>
        <rFont val="Verdana"/>
        <family val="2"/>
      </rPr>
      <t>C</t>
    </r>
  </si>
  <si>
    <r>
      <rPr>
        <sz val="20"/>
        <color rgb="FF000000"/>
        <rFont val="Verdana"/>
        <family val="2"/>
      </rPr>
      <t>280</t>
    </r>
  </si>
  <si>
    <r>
      <rPr>
        <sz val="22"/>
        <color rgb="FF000000"/>
        <rFont val="Verdana"/>
        <family val="2"/>
      </rPr>
      <t>RETITRISATIONS</t>
    </r>
  </si>
  <si>
    <r>
      <rPr>
        <sz val="22"/>
        <color rgb="FF000000"/>
        <rFont val="Verdana"/>
        <family val="2"/>
      </rPr>
      <t>D</t>
    </r>
  </si>
  <si>
    <r>
      <rPr>
        <sz val="20"/>
        <color rgb="FF000000"/>
        <rFont val="Verdana"/>
        <family val="2"/>
      </rPr>
      <t>290</t>
    </r>
  </si>
  <si>
    <r>
      <rPr>
        <sz val="22"/>
        <color rgb="FF000000"/>
        <rFont val="Verdana"/>
        <family val="2"/>
      </rPr>
      <t>E</t>
    </r>
  </si>
  <si>
    <r>
      <rPr>
        <sz val="20"/>
        <color rgb="FF000000"/>
        <rFont val="Verdana"/>
        <family val="2"/>
      </rPr>
      <t>300</t>
    </r>
  </si>
  <si>
    <r>
      <rPr>
        <b/>
        <sz val="22"/>
        <color rgb="FF000000"/>
        <rFont val="Verdana"/>
        <family val="2"/>
      </rPr>
      <t>SPONSOR: TOTAL DES EXPOSITIONS</t>
    </r>
  </si>
  <si>
    <r>
      <rPr>
        <sz val="20"/>
        <color rgb="FF000000"/>
        <rFont val="Verdana"/>
        <family val="2"/>
      </rPr>
      <t>310</t>
    </r>
  </si>
  <si>
    <r>
      <rPr>
        <sz val="22"/>
        <color rgb="FF000000"/>
        <rFont val="Verdana"/>
        <family val="2"/>
      </rPr>
      <t>ÉLÉMENTS DE BILAN</t>
    </r>
  </si>
  <si>
    <r>
      <rPr>
        <sz val="20"/>
        <color rgb="FF000000"/>
        <rFont val="Verdana"/>
        <family val="2"/>
      </rPr>
      <t>320</t>
    </r>
  </si>
  <si>
    <r>
      <rPr>
        <sz val="22"/>
        <color rgb="FF000000"/>
        <rFont val="Verdana"/>
        <family val="2"/>
      </rPr>
      <t>TITRISATIONS</t>
    </r>
  </si>
  <si>
    <r>
      <rPr>
        <sz val="22"/>
        <color rgb="FF000000"/>
        <rFont val="Verdana"/>
        <family val="2"/>
      </rPr>
      <t>A</t>
    </r>
  </si>
  <si>
    <r>
      <rPr>
        <sz val="20"/>
        <color rgb="FF000000"/>
        <rFont val="Verdana"/>
        <family val="2"/>
      </rPr>
      <t>330</t>
    </r>
  </si>
  <si>
    <r>
      <rPr>
        <sz val="22"/>
        <color rgb="FF000000"/>
        <rFont val="Verdana"/>
        <family val="2"/>
      </rPr>
      <t>B</t>
    </r>
  </si>
  <si>
    <r>
      <rPr>
        <sz val="20"/>
        <color rgb="FF000000"/>
        <rFont val="Verdana"/>
        <family val="2"/>
      </rPr>
      <t>340</t>
    </r>
  </si>
  <si>
    <r>
      <rPr>
        <sz val="22"/>
        <color rgb="FF000000"/>
        <rFont val="Verdana"/>
        <family val="2"/>
      </rPr>
      <t>C</t>
    </r>
  </si>
  <si>
    <r>
      <rPr>
        <sz val="20"/>
        <color rgb="FF000000"/>
        <rFont val="Verdana"/>
        <family val="2"/>
      </rPr>
      <t>350</t>
    </r>
  </si>
  <si>
    <r>
      <rPr>
        <sz val="22"/>
        <color rgb="FF000000"/>
        <rFont val="Verdana"/>
        <family val="2"/>
      </rPr>
      <t>RETITRISATIONS</t>
    </r>
  </si>
  <si>
    <r>
      <rPr>
        <sz val="22"/>
        <color rgb="FF000000"/>
        <rFont val="Verdana"/>
        <family val="2"/>
      </rPr>
      <t>D</t>
    </r>
  </si>
  <si>
    <r>
      <rPr>
        <sz val="20"/>
        <color rgb="FF000000"/>
        <rFont val="Verdana"/>
        <family val="2"/>
      </rPr>
      <t>360</t>
    </r>
  </si>
  <si>
    <r>
      <rPr>
        <sz val="22"/>
        <color rgb="FF000000"/>
        <rFont val="Verdana"/>
        <family val="2"/>
      </rPr>
      <t>E</t>
    </r>
  </si>
  <si>
    <r>
      <rPr>
        <sz val="20"/>
        <color rgb="FF000000"/>
        <rFont val="Verdana"/>
        <family val="2"/>
      </rPr>
      <t>370</t>
    </r>
  </si>
  <si>
    <r>
      <rPr>
        <sz val="22"/>
        <color rgb="FF000000"/>
        <rFont val="Verdana"/>
        <family val="2"/>
      </rPr>
      <t>ÉLÉMENTS DE HORS BILAN ET DÉRIVÉS</t>
    </r>
  </si>
  <si>
    <r>
      <rPr>
        <sz val="20"/>
        <color rgb="FF000000"/>
        <rFont val="Verdana"/>
        <family val="2"/>
      </rPr>
      <t>380</t>
    </r>
  </si>
  <si>
    <r>
      <rPr>
        <sz val="22"/>
        <color rgb="FF000000"/>
        <rFont val="Verdana"/>
        <family val="2"/>
      </rPr>
      <t>TITRISATIONS</t>
    </r>
  </si>
  <si>
    <r>
      <rPr>
        <sz val="22"/>
        <color rgb="FF000000"/>
        <rFont val="Verdana"/>
        <family val="2"/>
      </rPr>
      <t>A</t>
    </r>
  </si>
  <si>
    <r>
      <rPr>
        <sz val="20"/>
        <color rgb="FF000000"/>
        <rFont val="Verdana"/>
        <family val="2"/>
      </rPr>
      <t>390</t>
    </r>
  </si>
  <si>
    <r>
      <rPr>
        <sz val="22"/>
        <color rgb="FF000000"/>
        <rFont val="Verdana"/>
        <family val="2"/>
      </rPr>
      <t>B</t>
    </r>
  </si>
  <si>
    <r>
      <rPr>
        <sz val="20"/>
        <color rgb="FF000000"/>
        <rFont val="Verdana"/>
        <family val="2"/>
      </rPr>
      <t>400</t>
    </r>
  </si>
  <si>
    <r>
      <rPr>
        <sz val="22"/>
        <color rgb="FF000000"/>
        <rFont val="Verdana"/>
        <family val="2"/>
      </rPr>
      <t>C</t>
    </r>
  </si>
  <si>
    <r>
      <rPr>
        <sz val="20"/>
        <color rgb="FF000000"/>
        <rFont val="Verdana"/>
        <family val="2"/>
      </rPr>
      <t>410</t>
    </r>
  </si>
  <si>
    <r>
      <rPr>
        <sz val="22"/>
        <color rgb="FF000000"/>
        <rFont val="Verdana"/>
        <family val="2"/>
      </rPr>
      <t>RETITRISATIONS</t>
    </r>
  </si>
  <si>
    <r>
      <rPr>
        <sz val="22"/>
        <color rgb="FF000000"/>
        <rFont val="Verdana"/>
        <family val="2"/>
      </rPr>
      <t>D</t>
    </r>
  </si>
  <si>
    <r>
      <rPr>
        <sz val="20"/>
        <color rgb="FF000000"/>
        <rFont val="Verdana"/>
        <family val="2"/>
      </rPr>
      <t>420</t>
    </r>
  </si>
  <si>
    <r>
      <rPr>
        <sz val="22"/>
        <color rgb="FF000000"/>
        <rFont val="Verdana"/>
        <family val="2"/>
      </rPr>
      <t>E</t>
    </r>
  </si>
  <si>
    <r>
      <rPr>
        <b/>
        <sz val="22"/>
        <color rgb="FF000000"/>
        <rFont val="Verdana"/>
        <family val="2"/>
      </rPr>
      <t>RÉPARTITION DE L'ENCOURS DES POSITIONS PAR EQC AU COMMENCEMENT:</t>
    </r>
  </si>
  <si>
    <r>
      <rPr>
        <sz val="20"/>
        <color rgb="FF000000"/>
        <rFont val="Verdana"/>
        <family val="2"/>
      </rPr>
      <t>430</t>
    </r>
  </si>
  <si>
    <r>
      <rPr>
        <sz val="22"/>
        <color rgb="FF000000"/>
        <rFont val="Verdana"/>
        <family val="2"/>
      </rPr>
      <t xml:space="preserve"> EQC 1 &amp; EQC 1 CT</t>
    </r>
  </si>
  <si>
    <r>
      <rPr>
        <sz val="20"/>
        <color rgb="FF000000"/>
        <rFont val="Verdana"/>
        <family val="2"/>
      </rPr>
      <t>440</t>
    </r>
  </si>
  <si>
    <r>
      <rPr>
        <sz val="22"/>
        <color rgb="FF000000"/>
        <rFont val="Verdana"/>
        <family val="2"/>
      </rPr>
      <t xml:space="preserve"> EQC 2</t>
    </r>
  </si>
  <si>
    <r>
      <rPr>
        <sz val="20"/>
        <color rgb="FF000000"/>
        <rFont val="Verdana"/>
        <family val="2"/>
      </rPr>
      <t>450</t>
    </r>
  </si>
  <si>
    <r>
      <rPr>
        <sz val="22"/>
        <color rgb="FF000000"/>
        <rFont val="Verdana"/>
        <family val="2"/>
      </rPr>
      <t xml:space="preserve"> EQC 3</t>
    </r>
  </si>
  <si>
    <r>
      <rPr>
        <sz val="20"/>
        <color rgb="FF000000"/>
        <rFont val="Verdana"/>
        <family val="2"/>
      </rPr>
      <t>460</t>
    </r>
  </si>
  <si>
    <r>
      <rPr>
        <sz val="22"/>
        <color rgb="FF000000"/>
        <rFont val="Verdana"/>
        <family val="2"/>
      </rPr>
      <t xml:space="preserve"> EQC 4 &amp; EQC 2 CT</t>
    </r>
  </si>
  <si>
    <r>
      <rPr>
        <sz val="20"/>
        <color rgb="FF000000"/>
        <rFont val="Verdana"/>
        <family val="2"/>
      </rPr>
      <t>470</t>
    </r>
  </si>
  <si>
    <r>
      <rPr>
        <sz val="22"/>
        <color rgb="FF000000"/>
        <rFont val="Verdana"/>
        <family val="2"/>
      </rPr>
      <t xml:space="preserve"> EQC 5</t>
    </r>
  </si>
  <si>
    <r>
      <rPr>
        <sz val="20"/>
        <color rgb="FF000000"/>
        <rFont val="Verdana"/>
        <family val="2"/>
      </rPr>
      <t>480</t>
    </r>
  </si>
  <si>
    <r>
      <rPr>
        <sz val="22"/>
        <color rgb="FF000000"/>
        <rFont val="Verdana"/>
        <family val="2"/>
      </rPr>
      <t xml:space="preserve"> EQC 6</t>
    </r>
  </si>
  <si>
    <r>
      <rPr>
        <sz val="20"/>
        <color rgb="FF000000"/>
        <rFont val="Verdana"/>
        <family val="2"/>
      </rPr>
      <t>490</t>
    </r>
  </si>
  <si>
    <r>
      <rPr>
        <sz val="22"/>
        <color rgb="FF000000"/>
        <rFont val="Verdana"/>
        <family val="2"/>
      </rPr>
      <t xml:space="preserve"> EQC 7 &amp; EQC 3 CT</t>
    </r>
  </si>
  <si>
    <r>
      <rPr>
        <sz val="20"/>
        <color rgb="FF000000"/>
        <rFont val="Verdana"/>
        <family val="2"/>
      </rPr>
      <t>500</t>
    </r>
  </si>
  <si>
    <r>
      <rPr>
        <sz val="22"/>
        <color rgb="FF000000"/>
        <rFont val="Verdana"/>
        <family val="2"/>
      </rPr>
      <t xml:space="preserve"> EQC 8</t>
    </r>
  </si>
  <si>
    <r>
      <rPr>
        <sz val="20"/>
        <color rgb="FF000000"/>
        <rFont val="Verdana"/>
        <family val="2"/>
      </rPr>
      <t>510</t>
    </r>
  </si>
  <si>
    <r>
      <rPr>
        <sz val="22"/>
        <color rgb="FF000000"/>
        <rFont val="Verdana"/>
        <family val="2"/>
      </rPr>
      <t xml:space="preserve"> EQC 9</t>
    </r>
  </si>
  <si>
    <r>
      <rPr>
        <sz val="20"/>
        <color rgb="FF000000"/>
        <rFont val="Verdana"/>
        <family val="2"/>
      </rPr>
      <t>520</t>
    </r>
  </si>
  <si>
    <r>
      <rPr>
        <sz val="22"/>
        <color rgb="FF000000"/>
        <rFont val="Verdana"/>
        <family val="2"/>
      </rPr>
      <t xml:space="preserve"> EQC 10</t>
    </r>
  </si>
  <si>
    <r>
      <rPr>
        <sz val="20"/>
        <color rgb="FF000000"/>
        <rFont val="Verdana"/>
        <family val="2"/>
      </rPr>
      <t>530</t>
    </r>
  </si>
  <si>
    <r>
      <rPr>
        <sz val="22"/>
        <color rgb="FF000000"/>
        <rFont val="Verdana"/>
        <family val="2"/>
      </rPr>
      <t xml:space="preserve"> EQC 11</t>
    </r>
  </si>
  <si>
    <r>
      <rPr>
        <sz val="20"/>
        <color rgb="FF000000"/>
        <rFont val="Verdana"/>
        <family val="2"/>
      </rPr>
      <t>540</t>
    </r>
  </si>
  <si>
    <r>
      <rPr>
        <sz val="22"/>
        <color rgb="FF000000"/>
        <rFont val="Verdana"/>
        <family val="2"/>
      </rPr>
      <t xml:space="preserve"> TOUS LES AUTRES EQC ET POSITIONS NON NOTÉES</t>
    </r>
  </si>
  <si>
    <r>
      <rPr>
        <b/>
        <sz val="26"/>
        <rFont val="Verdana"/>
        <family val="2"/>
      </rPr>
      <t>C 14.00 - INFORMATIONS DÉTAILLÉES SUR LES TITRISATIONS (SEC Details)</t>
    </r>
  </si>
  <si>
    <r>
      <rPr>
        <b/>
        <sz val="26"/>
        <rFont val="Verdana"/>
        <family val="2"/>
      </rPr>
      <t>C 14.00 - INFORMATIONS DÉTAILLÉES SUR LES TITRISATIONS (SEC Details)</t>
    </r>
  </si>
  <si>
    <r>
      <rPr>
        <b/>
        <sz val="14"/>
        <rFont val="Verdana"/>
        <family val="2"/>
      </rPr>
      <t>NUMÉRO DE LIGNE</t>
    </r>
  </si>
  <si>
    <r>
      <rPr>
        <b/>
        <sz val="14"/>
        <rFont val="Verdana"/>
        <family val="2"/>
      </rPr>
      <t>CODE INTERNE</t>
    </r>
  </si>
  <si>
    <r>
      <rPr>
        <b/>
        <sz val="14"/>
        <rFont val="Verdana"/>
        <family val="2"/>
      </rPr>
      <t>IDENTIFIANT DE LA TITRISATION</t>
    </r>
  </si>
  <si>
    <r>
      <rPr>
        <b/>
        <sz val="14"/>
        <rFont val="Verdana"/>
        <family val="2"/>
      </rPr>
      <t>IDENTIFIANT DE L'INITIATEUR</t>
    </r>
  </si>
  <si>
    <r>
      <rPr>
        <b/>
        <sz val="14"/>
        <rFont val="Verdana"/>
        <family val="2"/>
      </rPr>
      <t xml:space="preserve">TYPE DE TITRISATION:
(CLASSIQUE/ SYNTHÉTIQUE) </t>
    </r>
  </si>
  <si>
    <r>
      <rPr>
        <b/>
        <sz val="14"/>
        <rFont val="Verdana"/>
        <family val="2"/>
      </rPr>
      <t>TRAITEMENT COMPTABLE: Les expositions titrisées sont-elles comptabilisées au bilan ou retirées?</t>
    </r>
  </si>
  <si>
    <r>
      <rPr>
        <b/>
        <sz val="14"/>
        <rFont val="Verdana"/>
        <family val="2"/>
      </rPr>
      <t>TRAITEMENT DE SOLVABILITÉ: Les positions de titrisation font-elles l'objet</t>
    </r>
    <r>
      <rPr>
        <sz val="14"/>
        <rFont val="Verdana"/>
      </rPr>
      <t xml:space="preserve"> </t>
    </r>
    <r>
      <rPr>
        <b/>
        <sz val="14"/>
        <color theme="1"/>
        <rFont val="Verdana"/>
        <family val="2"/>
      </rPr>
      <t>d'exigences de fonds propres?</t>
    </r>
  </si>
  <si>
    <r>
      <rPr>
        <b/>
        <sz val="14"/>
        <rFont val="Verdana"/>
        <family val="2"/>
      </rPr>
      <t>TITRISATION OU RETITRISATION?</t>
    </r>
  </si>
  <si>
    <r>
      <rPr>
        <b/>
        <sz val="14"/>
        <rFont val="Verdana"/>
        <family val="2"/>
      </rPr>
      <t>RÉTENTION</t>
    </r>
  </si>
  <si>
    <r>
      <rPr>
        <b/>
        <sz val="14"/>
        <rFont val="Verdana"/>
        <family val="2"/>
      </rPr>
      <t>RÔLE DE L’ÉTABLISSEMENT:
(INITIATEUR/ SPONSOR/ PRÊTEUR INITIAL/ INVESTISSEUR)</t>
    </r>
  </si>
  <si>
    <r>
      <rPr>
        <b/>
        <sz val="14"/>
        <rFont val="Verdana"/>
        <family val="2"/>
      </rPr>
      <t>HORS PROGRAMMES ABCP</t>
    </r>
  </si>
  <si>
    <r>
      <rPr>
        <b/>
        <sz val="14"/>
        <rFont val="Verdana"/>
        <family val="2"/>
      </rPr>
      <t>EXPOSITIONS TITRISÉES</t>
    </r>
  </si>
  <si>
    <r>
      <rPr>
        <b/>
        <sz val="14"/>
        <rFont val="Verdana"/>
        <family val="2"/>
      </rPr>
      <t>STRUCTURE DE TITRISATION</t>
    </r>
  </si>
  <si>
    <r>
      <rPr>
        <b/>
        <sz val="14"/>
        <rFont val="Verdana"/>
        <family val="2"/>
      </rPr>
      <t>POSITIONS DE TITRISATION</t>
    </r>
  </si>
  <si>
    <r>
      <rPr>
        <b/>
        <sz val="14"/>
        <rFont val="Verdana"/>
        <family val="2"/>
      </rPr>
      <t>(-) VALEUR EXPOSÉE DÉDUITE DES FONDS PROPRES</t>
    </r>
  </si>
  <si>
    <r>
      <rPr>
        <b/>
        <sz val="14"/>
        <rFont val="Verdana"/>
        <family val="2"/>
      </rPr>
      <t>MONTANT TOTAL D'EXPOSITION PONDÉRÉ</t>
    </r>
  </si>
  <si>
    <r>
      <rPr>
        <b/>
        <sz val="14"/>
        <rFont val="Verdana"/>
        <family val="2"/>
      </rPr>
      <t xml:space="preserve">POSITIONS DE TITRISATION - PORTEFEUILLE DE NÉGOCIATION </t>
    </r>
  </si>
  <si>
    <r>
      <rPr>
        <b/>
        <sz val="14"/>
        <rFont val="Verdana"/>
        <family val="2"/>
      </rPr>
      <t>TYPE DE RÉTENTION APPLIQUÉE</t>
    </r>
  </si>
  <si>
    <r>
      <rPr>
        <b/>
        <sz val="14"/>
        <rFont val="Verdana"/>
        <family val="2"/>
      </rPr>
      <t>% DE RÉTENTION À LA DATE DE DÉCLARATION</t>
    </r>
  </si>
  <si>
    <r>
      <rPr>
        <b/>
        <sz val="14"/>
        <rFont val="Verdana"/>
        <family val="2"/>
      </rPr>
      <t>RESPECT DE L’EXIGENCE DE RÉTENTION?</t>
    </r>
  </si>
  <si>
    <r>
      <rPr>
        <b/>
        <sz val="14"/>
        <rFont val="Verdana"/>
        <family val="2"/>
      </rPr>
      <t>DATE D’INITIATION 
(mm/aaaa)</t>
    </r>
  </si>
  <si>
    <r>
      <rPr>
        <b/>
        <sz val="14"/>
        <rFont val="Verdana"/>
        <family val="2"/>
      </rPr>
      <t>MONTANT TOTAL DES EXPOSITIONS TITRISÉES À LA DATE D’INITIATION</t>
    </r>
  </si>
  <si>
    <r>
      <rPr>
        <b/>
        <sz val="14"/>
        <rFont val="Verdana"/>
        <family val="2"/>
      </rPr>
      <t xml:space="preserve">MONTANT TOTAL </t>
    </r>
  </si>
  <si>
    <r>
      <rPr>
        <b/>
        <sz val="14"/>
        <rFont val="Verdana"/>
        <family val="2"/>
      </rPr>
      <t>PART DE L'ÉTABLISSEMENT (%)
(%)</t>
    </r>
  </si>
  <si>
    <r>
      <rPr>
        <b/>
        <sz val="14"/>
        <rFont val="Verdana"/>
        <family val="2"/>
      </rPr>
      <t>TYPE</t>
    </r>
  </si>
  <si>
    <r>
      <rPr>
        <b/>
        <sz val="14"/>
        <rFont val="Verdana"/>
        <family val="2"/>
      </rPr>
      <t>APPROCHE APPLIQUÉE (SA/NI/MIX)</t>
    </r>
  </si>
  <si>
    <r>
      <rPr>
        <b/>
        <sz val="14"/>
        <rFont val="Verdana"/>
        <family val="2"/>
      </rPr>
      <t>NOMBRE D’EXPOSITIONS</t>
    </r>
  </si>
  <si>
    <r>
      <rPr>
        <b/>
        <sz val="14"/>
        <rFont val="Verdana"/>
        <family val="2"/>
      </rPr>
      <t>PAYS</t>
    </r>
  </si>
  <si>
    <r>
      <rPr>
        <b/>
        <sz val="14"/>
        <rFont val="Verdana"/>
        <family val="2"/>
      </rPr>
      <t xml:space="preserve"> ELGD (%) </t>
    </r>
  </si>
  <si>
    <r>
      <rPr>
        <b/>
        <sz val="14"/>
        <rFont val="Verdana"/>
        <family val="2"/>
      </rPr>
      <t>(-) CORRECTIONS DE VALEUR ET PROVISIONS</t>
    </r>
  </si>
  <si>
    <r>
      <rPr>
        <b/>
        <sz val="14"/>
        <rFont val="Verdana"/>
        <family val="2"/>
      </rPr>
      <t>EXIGENCES DE FONDS PROPRES AVANT TITRISATION (%)</t>
    </r>
  </si>
  <si>
    <r>
      <rPr>
        <b/>
        <sz val="14"/>
        <rFont val="Verdana"/>
        <family val="2"/>
      </rPr>
      <t>ÉLÉMENTS DE BILAN</t>
    </r>
  </si>
  <si>
    <r>
      <rPr>
        <b/>
        <sz val="14"/>
        <rFont val="Verdana"/>
        <family val="2"/>
      </rPr>
      <t>ÉLÉMENTS DE HORS BILAN ET DÉRIVÉS</t>
    </r>
  </si>
  <si>
    <r>
      <rPr>
        <b/>
        <sz val="14"/>
        <rFont val="Verdana"/>
        <family val="2"/>
      </rPr>
      <t>ÉCHÉANCE</t>
    </r>
  </si>
  <si>
    <r>
      <rPr>
        <b/>
        <sz val="14"/>
        <rFont val="Verdana"/>
        <family val="2"/>
      </rPr>
      <t>EXPOSITION INITIALE AVANT APPLICATION DES FACTEURS DE CONVERSION</t>
    </r>
  </si>
  <si>
    <r>
      <rPr>
        <b/>
        <sz val="14"/>
        <rFont val="Verdana"/>
        <family val="2"/>
      </rPr>
      <t>POUR MÉMOIRE: ÉLÉMENTS DE HORS BILAN ET DÉRIVÉS</t>
    </r>
  </si>
  <si>
    <r>
      <rPr>
        <b/>
        <sz val="14"/>
        <rFont val="Verdana"/>
        <family val="2"/>
      </rPr>
      <t>REMBOURSEMENT ANTICIPÉ</t>
    </r>
  </si>
  <si>
    <r>
      <rPr>
        <b/>
        <sz val="14"/>
        <rFont val="Verdana"/>
        <family val="2"/>
      </rPr>
      <t>PORTEFEUILLE DE NÉGOCIATION EN CORRÉLATION OU NON?</t>
    </r>
  </si>
  <si>
    <r>
      <rPr>
        <b/>
        <sz val="14"/>
        <rFont val="Verdana"/>
        <family val="2"/>
      </rPr>
      <t>POSITIONS NETTES</t>
    </r>
  </si>
  <si>
    <r>
      <rPr>
        <b/>
        <sz val="14"/>
        <rFont val="Verdana"/>
        <family val="2"/>
      </rPr>
      <t>TOTAL DES EXIGENCES DE FONDS PROPRES (SA)</t>
    </r>
  </si>
  <si>
    <r>
      <rPr>
        <b/>
        <sz val="14"/>
        <rFont val="Verdana"/>
        <family val="2"/>
      </rPr>
      <t>SENIOR</t>
    </r>
  </si>
  <si>
    <r>
      <rPr>
        <b/>
        <sz val="14"/>
        <rFont val="Verdana"/>
        <family val="2"/>
      </rPr>
      <t>MEZZANINE</t>
    </r>
  </si>
  <si>
    <r>
      <rPr>
        <b/>
        <sz val="14"/>
        <rFont val="Verdana"/>
        <family val="2"/>
      </rPr>
      <t>PREMIÈRE PERTE</t>
    </r>
  </si>
  <si>
    <r>
      <rPr>
        <b/>
        <sz val="14"/>
        <rFont val="Verdana"/>
        <family val="2"/>
      </rPr>
      <t>SENIOR</t>
    </r>
  </si>
  <si>
    <r>
      <rPr>
        <b/>
        <sz val="14"/>
        <rFont val="Verdana"/>
        <family val="2"/>
      </rPr>
      <t>MEZZANINE</t>
    </r>
  </si>
  <si>
    <r>
      <rPr>
        <b/>
        <sz val="14"/>
        <rFont val="Verdana"/>
        <family val="2"/>
      </rPr>
      <t>PREMIÈRE PERTE</t>
    </r>
  </si>
  <si>
    <r>
      <rPr>
        <b/>
        <sz val="14"/>
        <rFont val="Verdana"/>
        <family val="2"/>
      </rPr>
      <t>PREMIÈRE DATE DE FIN PRÉVISIBLE</t>
    </r>
  </si>
  <si>
    <r>
      <rPr>
        <b/>
        <sz val="14"/>
        <rFont val="Verdana"/>
        <family val="2"/>
      </rPr>
      <t>DATE D’ÉCHÉANCE FINALE LÉGALE</t>
    </r>
  </si>
  <si>
    <r>
      <rPr>
        <b/>
        <sz val="14"/>
        <rFont val="Verdana"/>
        <family val="2"/>
      </rPr>
      <t>ÉLÉMENTS DE BILAN</t>
    </r>
  </si>
  <si>
    <r>
      <rPr>
        <b/>
        <sz val="14"/>
        <rFont val="Verdana"/>
        <family val="2"/>
      </rPr>
      <t>ÉLÉMENTS DE HORS BILAN ET DÉRIVÉS</t>
    </r>
  </si>
  <si>
    <r>
      <rPr>
        <b/>
        <sz val="14"/>
        <rFont val="Verdana"/>
        <family val="2"/>
      </rPr>
      <t>SUBSTITUTS DE CRÉDIT DIRECTS</t>
    </r>
  </si>
  <si>
    <r>
      <rPr>
        <b/>
        <sz val="14"/>
        <rFont val="Verdana"/>
        <family val="2"/>
      </rPr>
      <t>IRS/CRS</t>
    </r>
  </si>
  <si>
    <r>
      <rPr>
        <b/>
        <sz val="14"/>
        <rFont val="Verdana"/>
        <family val="2"/>
      </rPr>
      <t>FACILITÉS DE TRÉSORERIE (FT) ÉLIGIBLES</t>
    </r>
  </si>
  <si>
    <r>
      <rPr>
        <b/>
        <sz val="14"/>
        <rFont val="Verdana"/>
        <family val="2"/>
      </rPr>
      <t>AUTRES (y compris FT non éligibles)</t>
    </r>
  </si>
  <si>
    <r>
      <rPr>
        <b/>
        <sz val="14"/>
        <rFont val="Verdana"/>
        <family val="2"/>
      </rPr>
      <t>FACTEUR DE CONVERSION APPLIQUÉ</t>
    </r>
  </si>
  <si>
    <r>
      <rPr>
        <b/>
        <sz val="14"/>
        <rFont val="Verdana"/>
        <family val="2"/>
      </rPr>
      <t>SENIOR</t>
    </r>
  </si>
  <si>
    <r>
      <rPr>
        <b/>
        <sz val="14"/>
        <rFont val="Verdana"/>
        <family val="2"/>
      </rPr>
      <t xml:space="preserve">MEZZANINE </t>
    </r>
  </si>
  <si>
    <r>
      <rPr>
        <b/>
        <sz val="14"/>
        <rFont val="Verdana"/>
        <family val="2"/>
      </rPr>
      <t xml:space="preserve">PREMIÈRE PERTE </t>
    </r>
  </si>
  <si>
    <r>
      <rPr>
        <b/>
        <sz val="14"/>
        <rFont val="Verdana"/>
        <family val="2"/>
      </rPr>
      <t>SENIOR</t>
    </r>
  </si>
  <si>
    <r>
      <rPr>
        <b/>
        <sz val="14"/>
        <rFont val="Verdana"/>
        <family val="2"/>
      </rPr>
      <t>MEZZANINE</t>
    </r>
  </si>
  <si>
    <r>
      <rPr>
        <b/>
        <sz val="14"/>
        <rFont val="Verdana"/>
        <family val="2"/>
      </rPr>
      <t>PREMIÈRE PERTE</t>
    </r>
  </si>
  <si>
    <r>
      <rPr>
        <b/>
        <sz val="14"/>
        <rFont val="Verdana"/>
        <family val="2"/>
      </rPr>
      <t>AVANT APPLICATION DU PLAFOND</t>
    </r>
  </si>
  <si>
    <r>
      <rPr>
        <b/>
        <sz val="14"/>
        <rFont val="Verdana"/>
        <family val="2"/>
      </rPr>
      <t>APRÈS APPLICATION DU PLAFOND</t>
    </r>
  </si>
  <si>
    <r>
      <rPr>
        <b/>
        <sz val="14"/>
        <rFont val="Verdana"/>
        <family val="2"/>
      </rPr>
      <t>LONGUES</t>
    </r>
  </si>
  <si>
    <r>
      <rPr>
        <b/>
        <sz val="14"/>
        <rFont val="Verdana"/>
        <family val="2"/>
      </rPr>
      <t>COURTES</t>
    </r>
  </si>
  <si>
    <r>
      <rPr>
        <b/>
        <sz val="14"/>
        <rFont val="Verdana"/>
        <family val="2"/>
      </rPr>
      <t xml:space="preserve"> RISQUE SPÉCIFIQUE</t>
    </r>
  </si>
  <si>
    <r>
      <rPr>
        <sz val="16"/>
        <rFont val="Verdana"/>
        <family val="2"/>
      </rPr>
      <t>005</t>
    </r>
  </si>
  <si>
    <r>
      <rPr>
        <sz val="16"/>
        <rFont val="Verdana"/>
        <family val="2"/>
      </rPr>
      <t>010</t>
    </r>
  </si>
  <si>
    <r>
      <rPr>
        <sz val="16"/>
        <rFont val="Verdana"/>
        <family val="2"/>
      </rPr>
      <t>020</t>
    </r>
  </si>
  <si>
    <r>
      <rPr>
        <sz val="16"/>
        <rFont val="Verdana"/>
        <family val="2"/>
      </rPr>
      <t>030</t>
    </r>
  </si>
  <si>
    <r>
      <rPr>
        <sz val="16"/>
        <rFont val="Verdana"/>
        <family val="2"/>
      </rPr>
      <t>040</t>
    </r>
  </si>
  <si>
    <r>
      <rPr>
        <sz val="16"/>
        <rFont val="Verdana"/>
        <family val="2"/>
      </rPr>
      <t>050</t>
    </r>
  </si>
  <si>
    <r>
      <rPr>
        <sz val="16"/>
        <rFont val="Verdana"/>
        <family val="2"/>
      </rPr>
      <t>060</t>
    </r>
  </si>
  <si>
    <r>
      <rPr>
        <sz val="16"/>
        <rFont val="Verdana"/>
        <family val="2"/>
      </rPr>
      <t>070</t>
    </r>
  </si>
  <si>
    <r>
      <rPr>
        <sz val="16"/>
        <rFont val="Verdana"/>
        <family val="2"/>
      </rPr>
      <t>080</t>
    </r>
  </si>
  <si>
    <r>
      <rPr>
        <sz val="16"/>
        <rFont val="Verdana"/>
        <family val="2"/>
      </rPr>
      <t>090</t>
    </r>
  </si>
  <si>
    <r>
      <rPr>
        <sz val="16"/>
        <rFont val="Verdana"/>
        <family val="2"/>
      </rPr>
      <t>100</t>
    </r>
  </si>
  <si>
    <r>
      <rPr>
        <sz val="16"/>
        <rFont val="Verdana"/>
        <family val="2"/>
      </rPr>
      <t>110</t>
    </r>
  </si>
  <si>
    <r>
      <rPr>
        <sz val="16"/>
        <rFont val="Verdana"/>
        <family val="2"/>
      </rPr>
      <t>120</t>
    </r>
  </si>
  <si>
    <r>
      <rPr>
        <sz val="16"/>
        <rFont val="Verdana"/>
        <family val="2"/>
      </rPr>
      <t>130</t>
    </r>
  </si>
  <si>
    <r>
      <rPr>
        <sz val="16"/>
        <rFont val="Verdana"/>
        <family val="2"/>
      </rPr>
      <t>140</t>
    </r>
  </si>
  <si>
    <r>
      <rPr>
        <sz val="16"/>
        <rFont val="Verdana"/>
        <family val="2"/>
      </rPr>
      <t>150</t>
    </r>
  </si>
  <si>
    <r>
      <rPr>
        <sz val="16"/>
        <rFont val="Verdana"/>
        <family val="2"/>
      </rPr>
      <t>160</t>
    </r>
  </si>
  <si>
    <r>
      <rPr>
        <sz val="16"/>
        <rFont val="Verdana"/>
        <family val="2"/>
      </rPr>
      <t>170</t>
    </r>
  </si>
  <si>
    <r>
      <rPr>
        <sz val="16"/>
        <rFont val="Verdana"/>
        <family val="2"/>
      </rPr>
      <t>180</t>
    </r>
  </si>
  <si>
    <r>
      <rPr>
        <sz val="16"/>
        <rFont val="Verdana"/>
        <family val="2"/>
      </rPr>
      <t>190</t>
    </r>
  </si>
  <si>
    <r>
      <rPr>
        <sz val="16"/>
        <rFont val="Verdana"/>
        <family val="2"/>
      </rPr>
      <t>200</t>
    </r>
  </si>
  <si>
    <r>
      <rPr>
        <sz val="16"/>
        <rFont val="Verdana"/>
        <family val="2"/>
      </rPr>
      <t>210</t>
    </r>
  </si>
  <si>
    <r>
      <rPr>
        <sz val="16"/>
        <rFont val="Verdana"/>
        <family val="2"/>
      </rPr>
      <t>220</t>
    </r>
  </si>
  <si>
    <r>
      <rPr>
        <sz val="16"/>
        <rFont val="Verdana"/>
        <family val="2"/>
      </rPr>
      <t>230</t>
    </r>
  </si>
  <si>
    <r>
      <rPr>
        <sz val="16"/>
        <rFont val="Verdana"/>
        <family val="2"/>
      </rPr>
      <t>240</t>
    </r>
  </si>
  <si>
    <r>
      <rPr>
        <sz val="16"/>
        <rFont val="Verdana"/>
        <family val="2"/>
      </rPr>
      <t>250</t>
    </r>
  </si>
  <si>
    <r>
      <rPr>
        <sz val="16"/>
        <rFont val="Verdana"/>
        <family val="2"/>
      </rPr>
      <t>260</t>
    </r>
  </si>
  <si>
    <r>
      <rPr>
        <sz val="16"/>
        <rFont val="Verdana"/>
        <family val="2"/>
      </rPr>
      <t>270</t>
    </r>
  </si>
  <si>
    <r>
      <rPr>
        <sz val="16"/>
        <rFont val="Verdana"/>
        <family val="2"/>
      </rPr>
      <t>280</t>
    </r>
  </si>
  <si>
    <r>
      <rPr>
        <sz val="16"/>
        <rFont val="Verdana"/>
        <family val="2"/>
      </rPr>
      <t>290</t>
    </r>
  </si>
  <si>
    <r>
      <rPr>
        <sz val="16"/>
        <rFont val="Verdana"/>
        <family val="2"/>
      </rPr>
      <t>300</t>
    </r>
  </si>
  <si>
    <r>
      <rPr>
        <sz val="16"/>
        <rFont val="Verdana"/>
        <family val="2"/>
      </rPr>
      <t>310</t>
    </r>
  </si>
  <si>
    <r>
      <rPr>
        <sz val="16"/>
        <rFont val="Verdana"/>
        <family val="2"/>
      </rPr>
      <t>320</t>
    </r>
  </si>
  <si>
    <r>
      <rPr>
        <sz val="16"/>
        <rFont val="Verdana"/>
        <family val="2"/>
      </rPr>
      <t>330</t>
    </r>
  </si>
  <si>
    <r>
      <rPr>
        <sz val="16"/>
        <rFont val="Verdana"/>
        <family val="2"/>
      </rPr>
      <t>340</t>
    </r>
  </si>
  <si>
    <r>
      <rPr>
        <sz val="16"/>
        <rFont val="Verdana"/>
        <family val="2"/>
      </rPr>
      <t>350</t>
    </r>
  </si>
  <si>
    <r>
      <rPr>
        <sz val="16"/>
        <rFont val="Verdana"/>
        <family val="2"/>
      </rPr>
      <t>360</t>
    </r>
  </si>
  <si>
    <r>
      <rPr>
        <sz val="16"/>
        <rFont val="Verdana"/>
        <family val="2"/>
      </rPr>
      <t>370</t>
    </r>
  </si>
  <si>
    <r>
      <rPr>
        <sz val="16"/>
        <rFont val="Verdana"/>
        <family val="2"/>
      </rPr>
      <t>380</t>
    </r>
  </si>
  <si>
    <r>
      <rPr>
        <sz val="16"/>
        <rFont val="Verdana"/>
        <family val="2"/>
      </rPr>
      <t>390</t>
    </r>
  </si>
  <si>
    <r>
      <rPr>
        <sz val="16"/>
        <rFont val="Verdana"/>
        <family val="2"/>
      </rPr>
      <t>400</t>
    </r>
  </si>
  <si>
    <r>
      <rPr>
        <sz val="16"/>
        <rFont val="Verdana"/>
        <family val="2"/>
      </rPr>
      <t>410</t>
    </r>
  </si>
  <si>
    <r>
      <rPr>
        <sz val="16"/>
        <rFont val="Verdana"/>
        <family val="2"/>
      </rPr>
      <t>420</t>
    </r>
  </si>
  <si>
    <r>
      <rPr>
        <sz val="16"/>
        <rFont val="Verdana"/>
        <family val="2"/>
      </rPr>
      <t>430</t>
    </r>
  </si>
  <si>
    <r>
      <rPr>
        <sz val="16"/>
        <rFont val="Verdana"/>
        <family val="2"/>
      </rPr>
      <t>440</t>
    </r>
  </si>
  <si>
    <r>
      <rPr>
        <sz val="16"/>
        <rFont val="Verdana"/>
        <family val="2"/>
      </rPr>
      <t>450</t>
    </r>
  </si>
  <si>
    <r>
      <rPr>
        <sz val="16"/>
        <rFont val="Verdana"/>
        <family val="2"/>
      </rPr>
      <t>460</t>
    </r>
  </si>
  <si>
    <r>
      <rPr>
        <sz val="16"/>
        <rFont val="Verdana"/>
        <family val="2"/>
      </rPr>
      <t>470</t>
    </r>
  </si>
  <si>
    <r>
      <rPr>
        <sz val="16"/>
        <rFont val="Verdana"/>
        <family val="2"/>
      </rPr>
      <t>480</t>
    </r>
  </si>
  <si>
    <r>
      <rPr>
        <b/>
        <sz val="20"/>
        <rFont val="Verdana"/>
        <family val="2"/>
      </rPr>
      <t>C 16.00 – RISQUE OPÉRATIONNEL (OPR)</t>
    </r>
  </si>
  <si>
    <r>
      <rPr>
        <b/>
        <sz val="12"/>
        <rFont val="Verdana"/>
        <family val="2"/>
      </rPr>
      <t>ACTIVITÉS BANCAIRES</t>
    </r>
  </si>
  <si>
    <r>
      <rPr>
        <b/>
        <sz val="12"/>
        <rFont val="Verdana"/>
        <family val="2"/>
      </rPr>
      <t>INDICATEUR PERTINENT</t>
    </r>
  </si>
  <si>
    <r>
      <rPr>
        <b/>
        <sz val="12"/>
        <rFont val="Verdana"/>
        <family val="2"/>
      </rPr>
      <t>PRÊTS ET AVANCES
(EN CAS D'APPLICATION DE L'APPROCHE ASA)</t>
    </r>
  </si>
  <si>
    <r>
      <rPr>
        <b/>
        <sz val="12"/>
        <rFont val="Verdana"/>
        <family val="2"/>
      </rPr>
      <t>EXIGENCES DE
FONDS PROPRES</t>
    </r>
  </si>
  <si>
    <r>
      <rPr>
        <b/>
        <sz val="12"/>
        <rFont val="Verdana"/>
        <family val="2"/>
      </rPr>
      <t>Montant total de l'exposition au risque opérationnel</t>
    </r>
  </si>
  <si>
    <r>
      <rPr>
        <b/>
        <sz val="12"/>
        <rFont val="Verdana"/>
        <family val="2"/>
      </rPr>
      <t>ÉLÉMENTS POUR MÉMOIRE SELON L’APPROCHE AMA À DÉCLARER LE CAS ÉCHÉANT</t>
    </r>
  </si>
  <si>
    <r>
      <rPr>
        <b/>
        <sz val="12"/>
        <rFont val="Verdana"/>
        <family val="2"/>
      </rPr>
      <t>ANNÉE-3</t>
    </r>
  </si>
  <si>
    <r>
      <rPr>
        <b/>
        <sz val="12"/>
        <rFont val="Verdana"/>
        <family val="2"/>
      </rPr>
      <t>ANNÉE-2</t>
    </r>
  </si>
  <si>
    <r>
      <rPr>
        <b/>
        <sz val="12"/>
        <rFont val="Verdana"/>
        <family val="2"/>
      </rPr>
      <t>ANNÉE PASSÉE</t>
    </r>
  </si>
  <si>
    <r>
      <rPr>
        <b/>
        <sz val="12"/>
        <rFont val="Verdana"/>
        <family val="2"/>
      </rPr>
      <t>ANNÉE-3</t>
    </r>
  </si>
  <si>
    <r>
      <rPr>
        <b/>
        <sz val="12"/>
        <rFont val="Verdana"/>
        <family val="2"/>
      </rPr>
      <t>ANNÉE-2</t>
    </r>
  </si>
  <si>
    <r>
      <rPr>
        <b/>
        <sz val="12"/>
        <rFont val="Verdana"/>
        <family val="2"/>
      </rPr>
      <t>ANNÉE PASSÉE</t>
    </r>
  </si>
  <si>
    <r>
      <rPr>
        <b/>
        <sz val="12"/>
        <rFont val="Verdana"/>
        <family val="2"/>
      </rPr>
      <t>DONT:
RÉSULTANT D’UN MÉCANISME D’ALLOCATION</t>
    </r>
  </si>
  <si>
    <r>
      <rPr>
        <b/>
        <sz val="12"/>
        <rFont val="Verdana"/>
        <family val="2"/>
      </rPr>
      <t>EXIGENCES DE FONDS PROPRES AVANT ALLÈGEMENT EN RAISON DE PERTES ANTICIPÉES, DE LA DIVERSIFICATION ET DE TECHNIQUES D’ATTÉNUATION DU RISQUE</t>
    </r>
  </si>
  <si>
    <r>
      <rPr>
        <b/>
        <sz val="12"/>
        <rFont val="Verdana"/>
        <family val="2"/>
      </rPr>
      <t>(-) ALLÈGEMENT DES EXIGENCES DE FONDS PROPRES EN RAISON DES PERTES ANTICIPÉES PRISES EN COMPTE DANS LES PRATIQUES INTERNES</t>
    </r>
  </si>
  <si>
    <r>
      <rPr>
        <b/>
        <sz val="12"/>
        <rFont val="Verdana"/>
        <family val="2"/>
      </rPr>
      <t>(-) ALLÈGEMENT DES EXIGENCES DE FONDS PROPRES EN RAISON DE LA DIVERSIFICATION</t>
    </r>
  </si>
  <si>
    <r>
      <rPr>
        <b/>
        <sz val="12"/>
        <rFont val="Verdana"/>
        <family val="2"/>
      </rPr>
      <t>(-) ALLÈGEMENT DES EXIGENCES DE FONDS PROPRES EN RAISON DE TECHNIQUES D’ATTÉNUATION DU RISQUE (ASSURANCE ET AUTRES MÉCANISMES DE TRANSFERT DU RISQUE)</t>
    </r>
  </si>
  <si>
    <r>
      <rPr>
        <b/>
        <sz val="12"/>
        <rFont val="Verdana"/>
        <family val="2"/>
      </rPr>
      <t>010</t>
    </r>
  </si>
  <si>
    <r>
      <rPr>
        <b/>
        <sz val="12"/>
        <rFont val="Verdana"/>
        <family val="2"/>
      </rPr>
      <t>020</t>
    </r>
  </si>
  <si>
    <r>
      <rPr>
        <b/>
        <sz val="12"/>
        <rFont val="Verdana"/>
        <family val="2"/>
      </rPr>
      <t>030</t>
    </r>
  </si>
  <si>
    <r>
      <rPr>
        <b/>
        <sz val="12"/>
        <rFont val="Verdana"/>
        <family val="2"/>
      </rPr>
      <t>040</t>
    </r>
  </si>
  <si>
    <r>
      <rPr>
        <b/>
        <sz val="12"/>
        <rFont val="Verdana"/>
        <family val="2"/>
      </rPr>
      <t>050</t>
    </r>
  </si>
  <si>
    <r>
      <rPr>
        <b/>
        <sz val="12"/>
        <rFont val="Verdana"/>
        <family val="2"/>
      </rPr>
      <t>060</t>
    </r>
  </si>
  <si>
    <r>
      <rPr>
        <b/>
        <sz val="12"/>
        <rFont val="Verdana"/>
        <family val="2"/>
      </rPr>
      <t>070</t>
    </r>
  </si>
  <si>
    <r>
      <rPr>
        <b/>
        <sz val="12"/>
        <rFont val="Verdana"/>
        <family val="2"/>
      </rPr>
      <t>O71</t>
    </r>
  </si>
  <si>
    <r>
      <rPr>
        <b/>
        <sz val="12"/>
        <rFont val="Verdana"/>
        <family val="2"/>
      </rPr>
      <t>080</t>
    </r>
  </si>
  <si>
    <r>
      <rPr>
        <b/>
        <sz val="12"/>
        <rFont val="Verdana"/>
        <family val="2"/>
      </rPr>
      <t>090</t>
    </r>
  </si>
  <si>
    <r>
      <rPr>
        <sz val="12"/>
        <rFont val="Verdana"/>
        <family val="2"/>
      </rPr>
      <t>010</t>
    </r>
  </si>
  <si>
    <r>
      <rPr>
        <b/>
        <sz val="12"/>
        <rFont val="Verdana"/>
        <family val="2"/>
      </rPr>
      <t>1. ACTIVITÉS BANCAIRES EN APPROCHE ÉLÉMENTAIRE (BIA)</t>
    </r>
  </si>
  <si>
    <r>
      <rPr>
        <sz val="12"/>
        <rFont val="Verdana"/>
        <family val="2"/>
      </rPr>
      <t>Cellule liée à l’état CA2</t>
    </r>
  </si>
  <si>
    <r>
      <rPr>
        <sz val="12"/>
        <rFont val="Verdana"/>
        <family val="2"/>
      </rPr>
      <t>020</t>
    </r>
  </si>
  <si>
    <r>
      <rPr>
        <b/>
        <sz val="12"/>
        <rFont val="Verdana"/>
        <family val="2"/>
      </rPr>
      <t>2. ACTIVITÉS BANCAIRES EN APPROCHE STANDARD (TSA) / EN APPROCHE STANDARD DE REMPLACEMENT (ASA)</t>
    </r>
  </si>
  <si>
    <r>
      <rPr>
        <sz val="12"/>
        <rFont val="Verdana"/>
        <family val="2"/>
      </rPr>
      <t>Cellule liée à l’état CA2</t>
    </r>
  </si>
  <si>
    <r>
      <rPr>
        <sz val="12"/>
        <rFont val="Verdana"/>
        <family val="2"/>
      </rPr>
      <t>030</t>
    </r>
  </si>
  <si>
    <r>
      <rPr>
        <sz val="12"/>
        <rFont val="Verdana"/>
        <family val="2"/>
      </rPr>
      <t>FINANCEMENT DES ENTREPRISES (CF)</t>
    </r>
  </si>
  <si>
    <r>
      <rPr>
        <sz val="12"/>
        <rFont val="Verdana"/>
        <family val="2"/>
      </rPr>
      <t>040</t>
    </r>
  </si>
  <si>
    <r>
      <rPr>
        <sz val="12"/>
        <rFont val="Verdana"/>
        <family val="2"/>
      </rPr>
      <t>NÉGOCIATION ET VENTE (TS)</t>
    </r>
  </si>
  <si>
    <r>
      <rPr>
        <sz val="12"/>
        <rFont val="Verdana"/>
        <family val="2"/>
      </rPr>
      <t>050</t>
    </r>
  </si>
  <si>
    <r>
      <rPr>
        <sz val="12"/>
        <rFont val="Verdana"/>
        <family val="2"/>
      </rPr>
      <t>COURTAGE DE DÉTAIL (RBr)</t>
    </r>
  </si>
  <si>
    <r>
      <rPr>
        <sz val="12"/>
        <rFont val="Verdana"/>
        <family val="2"/>
      </rPr>
      <t>060</t>
    </r>
  </si>
  <si>
    <r>
      <rPr>
        <sz val="12"/>
        <rFont val="Verdana"/>
        <family val="2"/>
      </rPr>
      <t>BANQUE COMMERCIALE (CB)</t>
    </r>
  </si>
  <si>
    <r>
      <rPr>
        <sz val="12"/>
        <rFont val="Verdana"/>
        <family val="2"/>
      </rPr>
      <t>070</t>
    </r>
  </si>
  <si>
    <r>
      <rPr>
        <sz val="12"/>
        <rFont val="Verdana"/>
        <family val="2"/>
      </rPr>
      <t>BANQUE DE DÉTAIL (RB)</t>
    </r>
  </si>
  <si>
    <r>
      <rPr>
        <sz val="12"/>
        <rFont val="Verdana"/>
        <family val="2"/>
      </rPr>
      <t>080</t>
    </r>
  </si>
  <si>
    <r>
      <rPr>
        <sz val="12"/>
        <rFont val="Verdana"/>
        <family val="2"/>
      </rPr>
      <t>PAIEMENT ET RÈGLEMENT (PS)</t>
    </r>
  </si>
  <si>
    <r>
      <rPr>
        <sz val="12"/>
        <rFont val="Verdana"/>
        <family val="2"/>
      </rPr>
      <t>090</t>
    </r>
  </si>
  <si>
    <r>
      <rPr>
        <sz val="12"/>
        <rFont val="Verdana"/>
        <family val="2"/>
      </rPr>
      <t>SERVICES D'AGENCE (AS)</t>
    </r>
  </si>
  <si>
    <r>
      <rPr>
        <sz val="12"/>
        <rFont val="Verdana"/>
        <family val="2"/>
      </rPr>
      <t>100</t>
    </r>
  </si>
  <si>
    <r>
      <rPr>
        <sz val="12"/>
        <rFont val="Verdana"/>
        <family val="2"/>
      </rPr>
      <t>GESTION D'ACTIFS (AM)</t>
    </r>
  </si>
  <si>
    <r>
      <rPr>
        <sz val="12"/>
        <rFont val="Verdana"/>
        <family val="2"/>
      </rPr>
      <t>110</t>
    </r>
  </si>
  <si>
    <r>
      <rPr>
        <sz val="12"/>
        <rFont val="Verdana"/>
        <family val="2"/>
      </rPr>
      <t>BANQUE COMMERCIALE (CB)</t>
    </r>
  </si>
  <si>
    <r>
      <rPr>
        <sz val="12"/>
        <rFont val="Verdana"/>
        <family val="2"/>
      </rPr>
      <t>120</t>
    </r>
  </si>
  <si>
    <r>
      <rPr>
        <sz val="12"/>
        <rFont val="Verdana"/>
        <family val="2"/>
      </rPr>
      <t>BANQUE DE DÉTAIL (RB)</t>
    </r>
  </si>
  <si>
    <r>
      <rPr>
        <sz val="12"/>
        <rFont val="Verdana"/>
        <family val="2"/>
      </rPr>
      <t>130</t>
    </r>
  </si>
  <si>
    <r>
      <rPr>
        <b/>
        <sz val="12"/>
        <rFont val="Verdana"/>
        <family val="2"/>
      </rPr>
      <t xml:space="preserve">3. ACTIVITÉS BANCAIRES EN APPROCHE PAR MESURE AVANCÉE (AMA) </t>
    </r>
  </si>
  <si>
    <r>
      <rPr>
        <sz val="12"/>
        <rFont val="Verdana"/>
        <family val="2"/>
      </rPr>
      <t>Cellule liée à l’état CA2</t>
    </r>
  </si>
  <si>
    <r>
      <rPr>
        <b/>
        <sz val="18"/>
        <rFont val="Verdana"/>
        <family val="2"/>
      </rPr>
      <t>C 17.01 - RISQUE OPÉRATIONNEL: PERTES ET RECOUVREMENTS PAR LIGNE D'ACTIVITÉ ET TYPE D'ÉVÈNEMENT SUR L'EXERCICE PASSÉ (OPR DETAILS 1)</t>
    </r>
  </si>
  <si>
    <r>
      <rPr>
        <b/>
        <sz val="12"/>
        <rFont val="Verdana"/>
        <family val="2"/>
      </rPr>
      <t>MISE EN CORRESPONDANCE DES PERTES AVEC LES LIGNES D'ACTIVITÉ</t>
    </r>
  </si>
  <si>
    <r>
      <rPr>
        <b/>
        <sz val="11"/>
        <rFont val="Verdana"/>
        <family val="2"/>
      </rPr>
      <t>TYPES D’ÉVÉNEMENTS</t>
    </r>
  </si>
  <si>
    <r>
      <rPr>
        <b/>
        <sz val="11"/>
        <rFont val="Verdana"/>
        <family val="2"/>
      </rPr>
      <t>TOTAL TYPES D’ÉVÉNEMENTS</t>
    </r>
  </si>
  <si>
    <r>
      <rPr>
        <b/>
        <sz val="11"/>
        <rFont val="Verdana"/>
        <family val="2"/>
      </rPr>
      <t>POUR MÉMOIRE: SEUIL APPLIQUÉ POUR LA COLLECTE DES DONNÉES</t>
    </r>
  </si>
  <si>
    <r>
      <rPr>
        <b/>
        <sz val="11"/>
        <rFont val="Verdana"/>
        <family val="2"/>
      </rPr>
      <t>FRAUDE INTERNE</t>
    </r>
  </si>
  <si>
    <r>
      <rPr>
        <b/>
        <sz val="11"/>
        <rFont val="Verdana"/>
        <family val="2"/>
      </rPr>
      <t>FRAUDE EXTERNE</t>
    </r>
  </si>
  <si>
    <r>
      <rPr>
        <b/>
        <sz val="11"/>
        <rFont val="Verdana"/>
        <family val="2"/>
      </rPr>
      <t>PRATIQUES EN MATIÈRE D'EMPLOI ET DE SÉCURITÉ DU TRAVAIL</t>
    </r>
  </si>
  <si>
    <r>
      <rPr>
        <b/>
        <sz val="11"/>
        <rFont val="Verdana"/>
        <family val="2"/>
      </rPr>
      <t>CLIENTS, PRODUITS ET PRATIQUES COMMERCIALES</t>
    </r>
  </si>
  <si>
    <r>
      <rPr>
        <b/>
        <sz val="11"/>
        <rFont val="Verdana"/>
        <family val="2"/>
      </rPr>
      <t>DOMMAGES OCCASIONNÉS AUX ACTIFS PHYSIQUES</t>
    </r>
  </si>
  <si>
    <r>
      <rPr>
        <b/>
        <sz val="11"/>
        <rFont val="Verdana"/>
        <family val="2"/>
      </rPr>
      <t>INTERRUPTIONS DE L'ACTIVITÉ ET DYSFONCTIONNEMENTS DES SYSTÈMES</t>
    </r>
  </si>
  <si>
    <r>
      <rPr>
        <b/>
        <sz val="11"/>
        <rFont val="Verdana"/>
        <family val="2"/>
      </rPr>
      <t>EXÉCUTION, LIVRAISON ET GESTION DES PROCESSUS</t>
    </r>
  </si>
  <si>
    <r>
      <rPr>
        <b/>
        <sz val="11"/>
        <rFont val="Verdana"/>
        <family val="2"/>
      </rPr>
      <t xml:space="preserve">LE PLUS BAS </t>
    </r>
  </si>
  <si>
    <r>
      <rPr>
        <b/>
        <sz val="11"/>
        <rFont val="Verdana"/>
        <family val="2"/>
      </rPr>
      <t>LE PLUS ÉLEVÉ</t>
    </r>
  </si>
  <si>
    <r>
      <rPr>
        <sz val="10"/>
        <rFont val="Verdana"/>
        <family val="2"/>
      </rPr>
      <t>Ligne</t>
    </r>
  </si>
  <si>
    <r>
      <rPr>
        <sz val="11"/>
        <rFont val="Verdana"/>
        <family val="2"/>
      </rPr>
      <t>010</t>
    </r>
  </si>
  <si>
    <r>
      <rPr>
        <sz val="11"/>
        <rFont val="Verdana"/>
        <family val="2"/>
      </rPr>
      <t>020</t>
    </r>
  </si>
  <si>
    <r>
      <rPr>
        <sz val="11"/>
        <rFont val="Verdana"/>
        <family val="2"/>
      </rPr>
      <t>030</t>
    </r>
  </si>
  <si>
    <r>
      <rPr>
        <sz val="11"/>
        <rFont val="Verdana"/>
        <family val="2"/>
      </rPr>
      <t>040</t>
    </r>
  </si>
  <si>
    <r>
      <rPr>
        <sz val="11"/>
        <rFont val="Verdana"/>
        <family val="2"/>
      </rPr>
      <t>050</t>
    </r>
  </si>
  <si>
    <r>
      <rPr>
        <sz val="11"/>
        <rFont val="Verdana"/>
        <family val="2"/>
      </rPr>
      <t>060</t>
    </r>
  </si>
  <si>
    <r>
      <rPr>
        <sz val="11"/>
        <rFont val="Verdana"/>
        <family val="2"/>
      </rPr>
      <t>070</t>
    </r>
  </si>
  <si>
    <r>
      <rPr>
        <sz val="11"/>
        <rFont val="Verdana"/>
        <family val="2"/>
      </rPr>
      <t>080</t>
    </r>
  </si>
  <si>
    <r>
      <rPr>
        <sz val="11"/>
        <rFont val="Verdana"/>
        <family val="2"/>
      </rPr>
      <t>090</t>
    </r>
  </si>
  <si>
    <r>
      <rPr>
        <sz val="11"/>
        <rFont val="Verdana"/>
        <family val="2"/>
      </rPr>
      <t>100</t>
    </r>
  </si>
  <si>
    <r>
      <rPr>
        <sz val="10"/>
        <rFont val="Verdana"/>
        <family val="2"/>
      </rPr>
      <t>010</t>
    </r>
  </si>
  <si>
    <r>
      <rPr>
        <b/>
        <sz val="12"/>
        <rFont val="Verdana"/>
        <family val="2"/>
      </rPr>
      <t xml:space="preserve">FINANCEMENT DES ENTREPRISES
</t>
    </r>
    <r>
      <rPr>
        <b/>
        <sz val="16"/>
        <color theme="1"/>
        <rFont val="Verdana"/>
        <family val="2"/>
      </rPr>
      <t>[CF]</t>
    </r>
  </si>
  <si>
    <r>
      <rPr>
        <sz val="10"/>
        <rFont val="Verdana"/>
        <family val="2"/>
      </rPr>
      <t>Nombre d'événements (nouveaux évènements)</t>
    </r>
  </si>
  <si>
    <r>
      <rPr>
        <sz val="10"/>
        <rFont val="Verdana"/>
        <family val="2"/>
      </rPr>
      <t>020</t>
    </r>
  </si>
  <si>
    <r>
      <rPr>
        <sz val="10"/>
        <rFont val="Verdana"/>
        <family val="2"/>
      </rPr>
      <t>Montant de perte brute (nouveaux évènements)</t>
    </r>
  </si>
  <si>
    <r>
      <rPr>
        <sz val="10"/>
        <rFont val="Verdana"/>
        <family val="2"/>
      </rPr>
      <t>030</t>
    </r>
  </si>
  <si>
    <r>
      <rPr>
        <sz val="10"/>
        <rFont val="Verdana"/>
        <family val="2"/>
      </rPr>
      <t>Nombre d’événements faisant l'objet d’ajustements de perte</t>
    </r>
  </si>
  <si>
    <r>
      <rPr>
        <sz val="10"/>
        <rFont val="Verdana"/>
        <family val="2"/>
      </rPr>
      <t>040</t>
    </r>
  </si>
  <si>
    <r>
      <rPr>
        <sz val="10"/>
        <rFont val="Verdana"/>
        <family val="2"/>
      </rPr>
      <t>Ajustements de perte relatifs à des périodes de déclaration précédentes</t>
    </r>
  </si>
  <si>
    <r>
      <rPr>
        <sz val="10"/>
        <rFont val="Verdana"/>
        <family val="2"/>
      </rPr>
      <t>050</t>
    </r>
  </si>
  <si>
    <r>
      <rPr>
        <sz val="10"/>
        <rFont val="Verdana"/>
        <family val="2"/>
      </rPr>
      <t>Perte individuelle maximale</t>
    </r>
  </si>
  <si>
    <r>
      <rPr>
        <sz val="10"/>
        <rFont val="Verdana"/>
        <family val="2"/>
      </rPr>
      <t>060</t>
    </r>
  </si>
  <si>
    <r>
      <rPr>
        <sz val="10"/>
        <rFont val="Verdana"/>
        <family val="2"/>
      </rPr>
      <t>Somme des cinq pertes les plus élevées</t>
    </r>
  </si>
  <si>
    <r>
      <rPr>
        <sz val="10"/>
        <rFont val="Verdana"/>
        <family val="2"/>
      </rPr>
      <t>070</t>
    </r>
  </si>
  <si>
    <r>
      <rPr>
        <sz val="10"/>
        <rFont val="Verdana"/>
        <family val="2"/>
      </rPr>
      <t>Recouvrements de pertes directs totaux</t>
    </r>
  </si>
  <si>
    <r>
      <rPr>
        <sz val="10"/>
        <rFont val="Verdana"/>
        <family val="2"/>
      </rPr>
      <t>080</t>
    </r>
  </si>
  <si>
    <r>
      <rPr>
        <sz val="10"/>
        <rFont val="Verdana"/>
        <family val="2"/>
      </rPr>
      <t>Recouvrements totaux provenant des assurances et autres mécanismes de transfert du risque</t>
    </r>
  </si>
  <si>
    <r>
      <rPr>
        <sz val="10"/>
        <rFont val="Verdana"/>
        <family val="2"/>
      </rPr>
      <t>110</t>
    </r>
  </si>
  <si>
    <r>
      <rPr>
        <b/>
        <sz val="12"/>
        <rFont val="Verdana"/>
        <family val="2"/>
      </rPr>
      <t xml:space="preserve">NÉGOCIATION
ET VENTE
</t>
    </r>
    <r>
      <rPr>
        <b/>
        <sz val="16"/>
        <color theme="1"/>
        <rFont val="Verdana"/>
        <family val="2"/>
      </rPr>
      <t>[TS]</t>
    </r>
  </si>
  <si>
    <r>
      <rPr>
        <sz val="10"/>
        <rFont val="Verdana"/>
        <family val="2"/>
      </rPr>
      <t>Nombre d'événements (nouveaux évènements)</t>
    </r>
  </si>
  <si>
    <r>
      <rPr>
        <sz val="10"/>
        <rFont val="Verdana"/>
        <family val="2"/>
      </rPr>
      <t>120</t>
    </r>
  </si>
  <si>
    <r>
      <rPr>
        <sz val="10"/>
        <rFont val="Verdana"/>
        <family val="2"/>
      </rPr>
      <t>Montant de perte brute (nouveaux évènements)</t>
    </r>
  </si>
  <si>
    <r>
      <rPr>
        <sz val="10"/>
        <rFont val="Verdana"/>
        <family val="2"/>
      </rPr>
      <t>130</t>
    </r>
  </si>
  <si>
    <r>
      <rPr>
        <sz val="10"/>
        <rFont val="Verdana"/>
        <family val="2"/>
      </rPr>
      <t>Nombre d’événements faisant l'objet d’ajustements de perte</t>
    </r>
  </si>
  <si>
    <r>
      <rPr>
        <sz val="10"/>
        <rFont val="Verdana"/>
        <family val="2"/>
      </rPr>
      <t>140</t>
    </r>
  </si>
  <si>
    <r>
      <rPr>
        <sz val="10"/>
        <rFont val="Verdana"/>
        <family val="2"/>
      </rPr>
      <t>Ajustements de perte relatifs à des périodes de déclaration précédentes</t>
    </r>
  </si>
  <si>
    <r>
      <rPr>
        <sz val="10"/>
        <rFont val="Verdana"/>
        <family val="2"/>
      </rPr>
      <t>150</t>
    </r>
  </si>
  <si>
    <r>
      <rPr>
        <sz val="10"/>
        <rFont val="Verdana"/>
        <family val="2"/>
      </rPr>
      <t>Perte individuelle maximale</t>
    </r>
  </si>
  <si>
    <r>
      <rPr>
        <sz val="10"/>
        <rFont val="Verdana"/>
        <family val="2"/>
      </rPr>
      <t>160</t>
    </r>
  </si>
  <si>
    <r>
      <rPr>
        <sz val="10"/>
        <rFont val="Verdana"/>
        <family val="2"/>
      </rPr>
      <t>Somme des cinq pertes les plus élevées</t>
    </r>
  </si>
  <si>
    <r>
      <rPr>
        <sz val="10"/>
        <rFont val="Verdana"/>
        <family val="2"/>
      </rPr>
      <t>170</t>
    </r>
  </si>
  <si>
    <r>
      <rPr>
        <sz val="10"/>
        <rFont val="Verdana"/>
        <family val="2"/>
      </rPr>
      <t>Recouvrements de pertes directs totaux</t>
    </r>
  </si>
  <si>
    <r>
      <rPr>
        <sz val="10"/>
        <rFont val="Verdana"/>
        <family val="2"/>
      </rPr>
      <t>180</t>
    </r>
  </si>
  <si>
    <r>
      <rPr>
        <sz val="10"/>
        <rFont val="Verdana"/>
        <family val="2"/>
      </rPr>
      <t>Recouvrements totaux provenant des assurances et autres mécanismes de transfert du risque</t>
    </r>
  </si>
  <si>
    <r>
      <rPr>
        <sz val="10"/>
        <rFont val="Verdana"/>
        <family val="2"/>
      </rPr>
      <t>210</t>
    </r>
  </si>
  <si>
    <r>
      <rPr>
        <b/>
        <sz val="12"/>
        <rFont val="Verdana"/>
        <family val="2"/>
      </rPr>
      <t>COURTAGE DE DÉTAIL</t>
    </r>
    <r>
      <rPr>
        <b/>
        <sz val="16"/>
        <color theme="1"/>
        <rFont val="Verdana"/>
        <family val="2"/>
      </rPr>
      <t xml:space="preserve"> [RBr]</t>
    </r>
  </si>
  <si>
    <r>
      <rPr>
        <sz val="10"/>
        <rFont val="Verdana"/>
        <family val="2"/>
      </rPr>
      <t>Nombre d'événements (nouveaux évènements)</t>
    </r>
  </si>
  <si>
    <r>
      <rPr>
        <sz val="10"/>
        <rFont val="Verdana"/>
        <family val="2"/>
      </rPr>
      <t>220</t>
    </r>
  </si>
  <si>
    <r>
      <rPr>
        <sz val="10"/>
        <rFont val="Verdana"/>
        <family val="2"/>
      </rPr>
      <t>Montant de perte brute (nouveaux évènements)</t>
    </r>
  </si>
  <si>
    <r>
      <rPr>
        <sz val="10"/>
        <rFont val="Verdana"/>
        <family val="2"/>
      </rPr>
      <t>230</t>
    </r>
  </si>
  <si>
    <r>
      <rPr>
        <sz val="10"/>
        <rFont val="Verdana"/>
        <family val="2"/>
      </rPr>
      <t>Nombre d’événements faisant l'objet d’ajustements de perte</t>
    </r>
  </si>
  <si>
    <r>
      <rPr>
        <sz val="10"/>
        <rFont val="Verdana"/>
        <family val="2"/>
      </rPr>
      <t>240</t>
    </r>
  </si>
  <si>
    <r>
      <rPr>
        <sz val="10"/>
        <rFont val="Verdana"/>
        <family val="2"/>
      </rPr>
      <t>Ajustements de perte relatifs à des périodes de déclaration précédentes</t>
    </r>
  </si>
  <si>
    <r>
      <rPr>
        <sz val="10"/>
        <rFont val="Verdana"/>
        <family val="2"/>
      </rPr>
      <t>250</t>
    </r>
  </si>
  <si>
    <r>
      <rPr>
        <sz val="10"/>
        <rFont val="Verdana"/>
        <family val="2"/>
      </rPr>
      <t>Perte individuelle maximale</t>
    </r>
  </si>
  <si>
    <r>
      <rPr>
        <sz val="10"/>
        <rFont val="Verdana"/>
        <family val="2"/>
      </rPr>
      <t>260</t>
    </r>
  </si>
  <si>
    <r>
      <rPr>
        <sz val="10"/>
        <rFont val="Verdana"/>
        <family val="2"/>
      </rPr>
      <t>Somme des cinq pertes les plus élevées</t>
    </r>
  </si>
  <si>
    <r>
      <rPr>
        <sz val="10"/>
        <rFont val="Verdana"/>
        <family val="2"/>
      </rPr>
      <t>270</t>
    </r>
  </si>
  <si>
    <r>
      <rPr>
        <sz val="10"/>
        <rFont val="Verdana"/>
        <family val="2"/>
      </rPr>
      <t>Recouvrements de pertes directs totaux</t>
    </r>
  </si>
  <si>
    <r>
      <rPr>
        <sz val="10"/>
        <rFont val="Verdana"/>
        <family val="2"/>
      </rPr>
      <t>Recouvrements totaux provenant des assurances et autres mécanismes de transfert du risque</t>
    </r>
  </si>
  <si>
    <r>
      <rPr>
        <sz val="10"/>
        <rFont val="Verdana"/>
        <family val="2"/>
      </rPr>
      <t>310</t>
    </r>
  </si>
  <si>
    <r>
      <rPr>
        <b/>
        <sz val="12"/>
        <rFont val="Verdana"/>
        <family val="2"/>
      </rPr>
      <t xml:space="preserve">BANQUE COMMERCIALE
</t>
    </r>
    <r>
      <rPr>
        <b/>
        <sz val="16"/>
        <color theme="1"/>
        <rFont val="Verdana"/>
        <family val="2"/>
      </rPr>
      <t>[CB]</t>
    </r>
  </si>
  <si>
    <r>
      <rPr>
        <sz val="10"/>
        <rFont val="Verdana"/>
        <family val="2"/>
      </rPr>
      <t>Nombre d'événements (nouveaux évènements)</t>
    </r>
  </si>
  <si>
    <r>
      <rPr>
        <sz val="10"/>
        <rFont val="Verdana"/>
        <family val="2"/>
      </rPr>
      <t>320</t>
    </r>
  </si>
  <si>
    <r>
      <rPr>
        <sz val="10"/>
        <rFont val="Verdana"/>
        <family val="2"/>
      </rPr>
      <t>Montant de perte brute (nouveaux évènements)</t>
    </r>
  </si>
  <si>
    <r>
      <rPr>
        <sz val="10"/>
        <rFont val="Verdana"/>
        <family val="2"/>
      </rPr>
      <t>330</t>
    </r>
  </si>
  <si>
    <r>
      <rPr>
        <sz val="10"/>
        <rFont val="Verdana"/>
        <family val="2"/>
      </rPr>
      <t>Nombre d’événements faisant l'objet d’ajustements de perte</t>
    </r>
  </si>
  <si>
    <r>
      <rPr>
        <sz val="10"/>
        <rFont val="Verdana"/>
        <family val="2"/>
      </rPr>
      <t>340</t>
    </r>
  </si>
  <si>
    <r>
      <rPr>
        <sz val="10"/>
        <rFont val="Verdana"/>
        <family val="2"/>
      </rPr>
      <t>Ajustements de perte relatifs à des périodes de déclaration précédentes</t>
    </r>
  </si>
  <si>
    <r>
      <rPr>
        <sz val="10"/>
        <rFont val="Verdana"/>
        <family val="2"/>
      </rPr>
      <t>350</t>
    </r>
  </si>
  <si>
    <r>
      <rPr>
        <sz val="10"/>
        <rFont val="Verdana"/>
        <family val="2"/>
      </rPr>
      <t>Perte individuelle maximale</t>
    </r>
  </si>
  <si>
    <r>
      <rPr>
        <sz val="10"/>
        <rFont val="Verdana"/>
        <family val="2"/>
      </rPr>
      <t>360</t>
    </r>
  </si>
  <si>
    <r>
      <rPr>
        <sz val="10"/>
        <rFont val="Verdana"/>
        <family val="2"/>
      </rPr>
      <t>Somme des cinq pertes les plus élevées</t>
    </r>
  </si>
  <si>
    <r>
      <rPr>
        <sz val="10"/>
        <rFont val="Verdana"/>
        <family val="2"/>
      </rPr>
      <t>370</t>
    </r>
  </si>
  <si>
    <r>
      <rPr>
        <sz val="10"/>
        <rFont val="Verdana"/>
        <family val="2"/>
      </rPr>
      <t>Recouvrements de pertes directs totaux</t>
    </r>
  </si>
  <si>
    <r>
      <rPr>
        <sz val="10"/>
        <rFont val="Verdana"/>
        <family val="2"/>
      </rPr>
      <t>Recouvrements totaux provenant des assurances et autres mécanismes de transfert du risque</t>
    </r>
  </si>
  <si>
    <r>
      <rPr>
        <sz val="10"/>
        <rFont val="Verdana"/>
        <family val="2"/>
      </rPr>
      <t>410</t>
    </r>
  </si>
  <si>
    <r>
      <rPr>
        <b/>
        <sz val="12"/>
        <rFont val="Verdana"/>
        <family val="2"/>
      </rPr>
      <t xml:space="preserve">BANQUE DE 
DÉTAIL
</t>
    </r>
    <r>
      <rPr>
        <b/>
        <sz val="16"/>
        <color theme="1"/>
        <rFont val="Verdana"/>
        <family val="2"/>
      </rPr>
      <t>[RB]</t>
    </r>
  </si>
  <si>
    <r>
      <rPr>
        <sz val="10"/>
        <rFont val="Verdana"/>
        <family val="2"/>
      </rPr>
      <t>Nombre d'événements (nouveaux évènements)</t>
    </r>
  </si>
  <si>
    <r>
      <rPr>
        <sz val="10"/>
        <rFont val="Verdana"/>
        <family val="2"/>
      </rPr>
      <t>420</t>
    </r>
  </si>
  <si>
    <r>
      <rPr>
        <sz val="10"/>
        <rFont val="Verdana"/>
        <family val="2"/>
      </rPr>
      <t>Montant de perte brute (nouveaux évènements)</t>
    </r>
  </si>
  <si>
    <r>
      <rPr>
        <sz val="10"/>
        <rFont val="Verdana"/>
        <family val="2"/>
      </rPr>
      <t>430</t>
    </r>
  </si>
  <si>
    <r>
      <rPr>
        <sz val="10"/>
        <rFont val="Verdana"/>
        <family val="2"/>
      </rPr>
      <t>Nombre d’événements faisant l'objet d’ajustements de perte</t>
    </r>
  </si>
  <si>
    <r>
      <rPr>
        <sz val="10"/>
        <rFont val="Verdana"/>
        <family val="2"/>
      </rPr>
      <t>440</t>
    </r>
  </si>
  <si>
    <r>
      <rPr>
        <sz val="10"/>
        <rFont val="Verdana"/>
        <family val="2"/>
      </rPr>
      <t>Ajustements de perte relatifs à des périodes de déclaration précédentes</t>
    </r>
  </si>
  <si>
    <r>
      <rPr>
        <sz val="10"/>
        <rFont val="Verdana"/>
        <family val="2"/>
      </rPr>
      <t>450</t>
    </r>
  </si>
  <si>
    <r>
      <rPr>
        <sz val="10"/>
        <rFont val="Verdana"/>
        <family val="2"/>
      </rPr>
      <t>Perte individuelle maximale</t>
    </r>
  </si>
  <si>
    <r>
      <rPr>
        <sz val="10"/>
        <rFont val="Verdana"/>
        <family val="2"/>
      </rPr>
      <t>460</t>
    </r>
  </si>
  <si>
    <r>
      <rPr>
        <sz val="10"/>
        <rFont val="Verdana"/>
        <family val="2"/>
      </rPr>
      <t>Somme des cinq pertes les plus élevées</t>
    </r>
  </si>
  <si>
    <r>
      <rPr>
        <sz val="10"/>
        <rFont val="Verdana"/>
        <family val="2"/>
      </rPr>
      <t>470</t>
    </r>
  </si>
  <si>
    <r>
      <rPr>
        <sz val="10"/>
        <rFont val="Verdana"/>
        <family val="2"/>
      </rPr>
      <t>Recouvrements de pertes directs totaux</t>
    </r>
  </si>
  <si>
    <r>
      <rPr>
        <sz val="10"/>
        <rFont val="Verdana"/>
        <family val="2"/>
      </rPr>
      <t>Recouvrements totaux provenant des assurances et autres mécanismes de transfert du risque</t>
    </r>
  </si>
  <si>
    <r>
      <rPr>
        <sz val="10"/>
        <rFont val="Verdana"/>
        <family val="2"/>
      </rPr>
      <t>510</t>
    </r>
  </si>
  <si>
    <r>
      <rPr>
        <b/>
        <sz val="12"/>
        <rFont val="Verdana"/>
        <family val="2"/>
      </rPr>
      <t>PAIEMENT ET RÈGLEMENT</t>
    </r>
    <r>
      <rPr>
        <sz val="12"/>
        <rFont val="Verdana"/>
      </rPr>
      <t xml:space="preserve"> </t>
    </r>
    <r>
      <rPr>
        <b/>
        <sz val="16"/>
        <color theme="1"/>
        <rFont val="Verdana"/>
        <family val="2"/>
      </rPr>
      <t>[PS]</t>
    </r>
  </si>
  <si>
    <r>
      <rPr>
        <sz val="10"/>
        <rFont val="Verdana"/>
        <family val="2"/>
      </rPr>
      <t>Nombre d'événements (nouveaux évènements)</t>
    </r>
  </si>
  <si>
    <r>
      <rPr>
        <sz val="10"/>
        <rFont val="Verdana"/>
        <family val="2"/>
      </rPr>
      <t>520</t>
    </r>
  </si>
  <si>
    <r>
      <rPr>
        <sz val="10"/>
        <rFont val="Verdana"/>
        <family val="2"/>
      </rPr>
      <t>Montant de perte brute (nouveaux évènements)</t>
    </r>
  </si>
  <si>
    <r>
      <rPr>
        <sz val="10"/>
        <rFont val="Verdana"/>
        <family val="2"/>
      </rPr>
      <t>530</t>
    </r>
  </si>
  <si>
    <r>
      <rPr>
        <sz val="10"/>
        <rFont val="Verdana"/>
        <family val="2"/>
      </rPr>
      <t>Nombre d’événements faisant l'objet d’ajustements de perte</t>
    </r>
  </si>
  <si>
    <r>
      <rPr>
        <sz val="10"/>
        <rFont val="Verdana"/>
        <family val="2"/>
      </rPr>
      <t>540</t>
    </r>
  </si>
  <si>
    <r>
      <rPr>
        <sz val="10"/>
        <rFont val="Verdana"/>
        <family val="2"/>
      </rPr>
      <t>Ajustements de perte relatifs à des périodes de déclaration précédentes</t>
    </r>
  </si>
  <si>
    <r>
      <rPr>
        <sz val="10"/>
        <rFont val="Verdana"/>
        <family val="2"/>
      </rPr>
      <t>550</t>
    </r>
  </si>
  <si>
    <r>
      <rPr>
        <sz val="10"/>
        <rFont val="Verdana"/>
        <family val="2"/>
      </rPr>
      <t>Perte individuelle maximale</t>
    </r>
  </si>
  <si>
    <r>
      <rPr>
        <sz val="10"/>
        <rFont val="Verdana"/>
        <family val="2"/>
      </rPr>
      <t>560</t>
    </r>
  </si>
  <si>
    <r>
      <rPr>
        <sz val="10"/>
        <rFont val="Verdana"/>
        <family val="2"/>
      </rPr>
      <t>Somme des cinq pertes les plus élevées</t>
    </r>
  </si>
  <si>
    <r>
      <rPr>
        <sz val="10"/>
        <rFont val="Verdana"/>
        <family val="2"/>
      </rPr>
      <t>570</t>
    </r>
  </si>
  <si>
    <r>
      <rPr>
        <sz val="10"/>
        <rFont val="Verdana"/>
        <family val="2"/>
      </rPr>
      <t>Recouvrements de pertes directs totaux</t>
    </r>
  </si>
  <si>
    <r>
      <rPr>
        <sz val="10"/>
        <rFont val="Verdana"/>
        <family val="2"/>
      </rPr>
      <t>Recouvrements totaux provenant des assurances et autres mécanismes de transfert du risque</t>
    </r>
  </si>
  <si>
    <r>
      <rPr>
        <sz val="10"/>
        <rFont val="Verdana"/>
        <family val="2"/>
      </rPr>
      <t>610</t>
    </r>
  </si>
  <si>
    <r>
      <rPr>
        <b/>
        <sz val="12"/>
        <rFont val="Verdana"/>
        <family val="2"/>
      </rPr>
      <t xml:space="preserve">SERVICES
D'AGENCE
</t>
    </r>
    <r>
      <rPr>
        <b/>
        <sz val="16"/>
        <color theme="1"/>
        <rFont val="Verdana"/>
        <family val="2"/>
      </rPr>
      <t>[AS]</t>
    </r>
  </si>
  <si>
    <r>
      <rPr>
        <sz val="10"/>
        <rFont val="Verdana"/>
        <family val="2"/>
      </rPr>
      <t>Nombre d'événements (nouveaux évènements)</t>
    </r>
  </si>
  <si>
    <r>
      <rPr>
        <sz val="10"/>
        <rFont val="Verdana"/>
        <family val="2"/>
      </rPr>
      <t>620</t>
    </r>
  </si>
  <si>
    <r>
      <rPr>
        <sz val="10"/>
        <rFont val="Verdana"/>
        <family val="2"/>
      </rPr>
      <t>Montant de perte brute (nouveaux évènements)</t>
    </r>
  </si>
  <si>
    <r>
      <rPr>
        <sz val="10"/>
        <rFont val="Verdana"/>
        <family val="2"/>
      </rPr>
      <t>630</t>
    </r>
  </si>
  <si>
    <r>
      <rPr>
        <sz val="10"/>
        <rFont val="Verdana"/>
        <family val="2"/>
      </rPr>
      <t>Nombre d’événements faisant l'objet d’ajustements de perte</t>
    </r>
  </si>
  <si>
    <r>
      <rPr>
        <sz val="10"/>
        <rFont val="Verdana"/>
        <family val="2"/>
      </rPr>
      <t>640</t>
    </r>
  </si>
  <si>
    <r>
      <rPr>
        <sz val="10"/>
        <rFont val="Verdana"/>
        <family val="2"/>
      </rPr>
      <t>Ajustements de perte relatifs à des périodes de déclaration précédentes</t>
    </r>
  </si>
  <si>
    <r>
      <rPr>
        <sz val="10"/>
        <rFont val="Verdana"/>
        <family val="2"/>
      </rPr>
      <t>650</t>
    </r>
  </si>
  <si>
    <r>
      <rPr>
        <sz val="10"/>
        <rFont val="Verdana"/>
        <family val="2"/>
      </rPr>
      <t>Perte individuelle maximale</t>
    </r>
  </si>
  <si>
    <r>
      <rPr>
        <sz val="10"/>
        <rFont val="Verdana"/>
        <family val="2"/>
      </rPr>
      <t>660</t>
    </r>
  </si>
  <si>
    <r>
      <rPr>
        <sz val="10"/>
        <rFont val="Verdana"/>
        <family val="2"/>
      </rPr>
      <t>Somme des cinq pertes les plus élevées</t>
    </r>
  </si>
  <si>
    <r>
      <rPr>
        <sz val="10"/>
        <rFont val="Verdana"/>
        <family val="2"/>
      </rPr>
      <t>670</t>
    </r>
  </si>
  <si>
    <r>
      <rPr>
        <sz val="10"/>
        <rFont val="Verdana"/>
        <family val="2"/>
      </rPr>
      <t>Recouvrements de pertes directs totaux</t>
    </r>
  </si>
  <si>
    <r>
      <rPr>
        <sz val="10"/>
        <rFont val="Verdana"/>
        <family val="2"/>
      </rPr>
      <t>Recouvrements totaux provenant des assurances et autres mécanismes de transfert du risque</t>
    </r>
  </si>
  <si>
    <r>
      <rPr>
        <sz val="10"/>
        <rFont val="Verdana"/>
        <family val="2"/>
      </rPr>
      <t>710</t>
    </r>
  </si>
  <si>
    <r>
      <rPr>
        <b/>
        <sz val="12"/>
        <rFont val="Verdana"/>
        <family val="2"/>
      </rPr>
      <t>GESTION D'ACTIFS</t>
    </r>
    <r>
      <rPr>
        <sz val="12"/>
        <rFont val="Verdana"/>
      </rPr>
      <t xml:space="preserve"> </t>
    </r>
    <r>
      <rPr>
        <b/>
        <sz val="16"/>
        <color theme="1"/>
        <rFont val="Verdana"/>
        <family val="2"/>
      </rPr>
      <t>[AM]</t>
    </r>
  </si>
  <si>
    <r>
      <rPr>
        <sz val="10"/>
        <rFont val="Verdana"/>
        <family val="2"/>
      </rPr>
      <t>Nombre d'événements (nouveaux évènements)</t>
    </r>
  </si>
  <si>
    <r>
      <rPr>
        <sz val="10"/>
        <rFont val="Verdana"/>
        <family val="2"/>
      </rPr>
      <t>720</t>
    </r>
  </si>
  <si>
    <r>
      <rPr>
        <sz val="10"/>
        <rFont val="Verdana"/>
        <family val="2"/>
      </rPr>
      <t>Montant de perte brute (nouveaux évènements)</t>
    </r>
  </si>
  <si>
    <r>
      <rPr>
        <sz val="10"/>
        <rFont val="Verdana"/>
        <family val="2"/>
      </rPr>
      <t>730</t>
    </r>
  </si>
  <si>
    <r>
      <rPr>
        <sz val="10"/>
        <rFont val="Verdana"/>
        <family val="2"/>
      </rPr>
      <t>Nombre d’événements faisant l'objet d’ajustements de perte</t>
    </r>
  </si>
  <si>
    <r>
      <rPr>
        <sz val="10"/>
        <rFont val="Verdana"/>
        <family val="2"/>
      </rPr>
      <t>740</t>
    </r>
  </si>
  <si>
    <r>
      <rPr>
        <sz val="10"/>
        <rFont val="Verdana"/>
        <family val="2"/>
      </rPr>
      <t>Ajustements de perte relatifs à des périodes de déclaration précédentes</t>
    </r>
  </si>
  <si>
    <r>
      <rPr>
        <sz val="10"/>
        <rFont val="Verdana"/>
        <family val="2"/>
      </rPr>
      <t>750</t>
    </r>
  </si>
  <si>
    <r>
      <rPr>
        <sz val="10"/>
        <rFont val="Verdana"/>
        <family val="2"/>
      </rPr>
      <t>Perte individuelle maximale</t>
    </r>
  </si>
  <si>
    <r>
      <rPr>
        <sz val="10"/>
        <rFont val="Verdana"/>
        <family val="2"/>
      </rPr>
      <t>760</t>
    </r>
  </si>
  <si>
    <r>
      <rPr>
        <sz val="10"/>
        <rFont val="Verdana"/>
        <family val="2"/>
      </rPr>
      <t>Somme des cinq pertes les plus élevées</t>
    </r>
  </si>
  <si>
    <r>
      <rPr>
        <sz val="10"/>
        <rFont val="Verdana"/>
        <family val="2"/>
      </rPr>
      <t>770</t>
    </r>
  </si>
  <si>
    <r>
      <rPr>
        <sz val="10"/>
        <rFont val="Verdana"/>
        <family val="2"/>
      </rPr>
      <t>Recouvrements de pertes directs totaux</t>
    </r>
  </si>
  <si>
    <r>
      <rPr>
        <sz val="10"/>
        <rFont val="Verdana"/>
        <family val="2"/>
      </rPr>
      <t>Recouvrements totaux provenant des assurances et autres mécanismes de transfert du risque</t>
    </r>
  </si>
  <si>
    <r>
      <rPr>
        <sz val="10"/>
        <rFont val="Verdana"/>
        <family val="2"/>
      </rPr>
      <t>810</t>
    </r>
  </si>
  <si>
    <r>
      <rPr>
        <b/>
        <sz val="12"/>
        <rFont val="Verdana"/>
        <family val="2"/>
      </rPr>
      <t xml:space="preserve">ÉLÉMENTS D'ENTREPRISE
</t>
    </r>
    <r>
      <rPr>
        <b/>
        <sz val="16"/>
        <color theme="1"/>
        <rFont val="Verdana"/>
        <family val="2"/>
      </rPr>
      <t>[CI]</t>
    </r>
  </si>
  <si>
    <r>
      <rPr>
        <sz val="10"/>
        <rFont val="Verdana"/>
        <family val="2"/>
      </rPr>
      <t>Nombre d'événements (nouveaux évènements)</t>
    </r>
  </si>
  <si>
    <r>
      <rPr>
        <sz val="10"/>
        <rFont val="Verdana"/>
        <family val="2"/>
      </rPr>
      <t>820</t>
    </r>
  </si>
  <si>
    <r>
      <rPr>
        <sz val="10"/>
        <rFont val="Verdana"/>
        <family val="2"/>
      </rPr>
      <t>Montant de perte brute (nouveaux évènements)</t>
    </r>
  </si>
  <si>
    <r>
      <rPr>
        <sz val="10"/>
        <rFont val="Verdana"/>
        <family val="2"/>
      </rPr>
      <t>830</t>
    </r>
  </si>
  <si>
    <r>
      <rPr>
        <sz val="10"/>
        <rFont val="Verdana"/>
        <family val="2"/>
      </rPr>
      <t>Nombre d’événements faisant l'objet d’ajustements de perte</t>
    </r>
  </si>
  <si>
    <r>
      <rPr>
        <sz val="10"/>
        <rFont val="Verdana"/>
        <family val="2"/>
      </rPr>
      <t>840</t>
    </r>
  </si>
  <si>
    <r>
      <rPr>
        <sz val="10"/>
        <rFont val="Verdana"/>
        <family val="2"/>
      </rPr>
      <t>Ajustements de perte relatifs à des périodes de déclaration précédentes</t>
    </r>
  </si>
  <si>
    <r>
      <rPr>
        <sz val="10"/>
        <rFont val="Verdana"/>
        <family val="2"/>
      </rPr>
      <t>850</t>
    </r>
  </si>
  <si>
    <r>
      <rPr>
        <sz val="10"/>
        <rFont val="Verdana"/>
        <family val="2"/>
      </rPr>
      <t>Perte individuelle maximale</t>
    </r>
  </si>
  <si>
    <r>
      <rPr>
        <sz val="10"/>
        <rFont val="Verdana"/>
        <family val="2"/>
      </rPr>
      <t>860</t>
    </r>
  </si>
  <si>
    <r>
      <rPr>
        <sz val="10"/>
        <rFont val="Verdana"/>
        <family val="2"/>
      </rPr>
      <t>Somme des cinq pertes les plus élevées</t>
    </r>
  </si>
  <si>
    <r>
      <rPr>
        <sz val="10"/>
        <rFont val="Verdana"/>
        <family val="2"/>
      </rPr>
      <t>870</t>
    </r>
  </si>
  <si>
    <r>
      <rPr>
        <sz val="10"/>
        <rFont val="Verdana"/>
        <family val="2"/>
      </rPr>
      <t>Recouvrements de pertes directs totaux</t>
    </r>
  </si>
  <si>
    <r>
      <rPr>
        <sz val="10"/>
        <rFont val="Verdana"/>
        <family val="2"/>
      </rPr>
      <t>Recouvrements totaux provenant des assurances et autres mécanismes de transfert du risque</t>
    </r>
  </si>
  <si>
    <r>
      <rPr>
        <b/>
        <sz val="12"/>
        <rFont val="Verdana"/>
        <family val="2"/>
      </rPr>
      <t>TOTAL
LIGNES
D’ACTIVITÉ</t>
    </r>
  </si>
  <si>
    <r>
      <rPr>
        <sz val="10"/>
        <rFont val="Verdana"/>
        <family val="2"/>
      </rPr>
      <t>Nombre d'événements (nouveaux évènements) Dont:</t>
    </r>
  </si>
  <si>
    <r>
      <rPr>
        <sz val="10"/>
        <rFont val="Verdana"/>
        <family val="2"/>
      </rPr>
      <t xml:space="preserve"> correspondant à des pertes ≥ 10 000 et &lt; 20 000</t>
    </r>
  </si>
  <si>
    <r>
      <rPr>
        <sz val="10"/>
        <rFont val="Verdana"/>
        <family val="2"/>
      </rPr>
      <t xml:space="preserve"> correspondant  à des pertes ≥ 20 000 et &lt; 100 000 </t>
    </r>
  </si>
  <si>
    <r>
      <rPr>
        <sz val="10"/>
        <rFont val="Verdana"/>
        <family val="2"/>
      </rPr>
      <t xml:space="preserve"> correspondant à des pertes ≥ 100 000 et &lt; 1 000 000</t>
    </r>
  </si>
  <si>
    <r>
      <rPr>
        <sz val="10"/>
        <rFont val="Verdana"/>
        <family val="2"/>
      </rPr>
      <t xml:space="preserve"> correspondant à des pertes ≥ 1 000 000</t>
    </r>
  </si>
  <si>
    <r>
      <rPr>
        <sz val="10"/>
        <rFont val="Verdana"/>
        <family val="2"/>
      </rPr>
      <t>Montant de perte brute (nouveaux évènements) Dont:</t>
    </r>
  </si>
  <si>
    <r>
      <rPr>
        <sz val="10"/>
        <rFont val="Verdana"/>
        <family val="2"/>
      </rPr>
      <t xml:space="preserve"> correspondant à des pertes ≥ 10 000 et &lt; 20 000</t>
    </r>
  </si>
  <si>
    <r>
      <rPr>
        <sz val="10"/>
        <rFont val="Verdana"/>
        <family val="2"/>
      </rPr>
      <t xml:space="preserve"> correspondant à des pertes ≥ 20 000 et &lt; 100 000 </t>
    </r>
  </si>
  <si>
    <r>
      <rPr>
        <sz val="10"/>
        <rFont val="Verdana"/>
        <family val="2"/>
      </rPr>
      <t xml:space="preserve"> correspondant à des pertes ≥ 100 000 et &lt; 1 000 000</t>
    </r>
  </si>
  <si>
    <r>
      <rPr>
        <sz val="10"/>
        <rFont val="Verdana"/>
        <family val="2"/>
      </rPr>
      <t xml:space="preserve"> correspondant à des pertes ≥ 1 000 000</t>
    </r>
  </si>
  <si>
    <r>
      <rPr>
        <sz val="10"/>
        <rFont val="Verdana"/>
        <family val="2"/>
      </rPr>
      <t>Nombre d’événements faisant l'objet d’ajustements de perte Dont:</t>
    </r>
  </si>
  <si>
    <r>
      <rPr>
        <sz val="10"/>
        <rFont val="Verdana"/>
        <family val="2"/>
      </rPr>
      <t xml:space="preserve">dont: nombre d’événements faisant l'objet d’ajustements de perte positifs </t>
    </r>
  </si>
  <si>
    <r>
      <rPr>
        <sz val="10"/>
        <rFont val="Verdana"/>
        <family val="2"/>
      </rPr>
      <t xml:space="preserve">dont: nombre d’événements faisant l'objet d’ajustements de perte négatifs </t>
    </r>
  </si>
  <si>
    <r>
      <rPr>
        <sz val="10"/>
        <rFont val="Verdana"/>
        <family val="2"/>
      </rPr>
      <t>Ajustements de perte relatifs à des périodes de déclaration précédentes</t>
    </r>
  </si>
  <si>
    <r>
      <rPr>
        <sz val="10"/>
        <rFont val="Verdana"/>
        <family val="2"/>
      </rPr>
      <t>dont: montant des ajustements de perte positifs (+)</t>
    </r>
  </si>
  <si>
    <r>
      <rPr>
        <sz val="10"/>
        <rFont val="Verdana"/>
        <family val="2"/>
      </rPr>
      <t>dont: montant des ajustement de perte négatifs (-)</t>
    </r>
  </si>
  <si>
    <r>
      <rPr>
        <sz val="10"/>
        <rFont val="Verdana"/>
        <family val="2"/>
      </rPr>
      <t>Perte individuelle maximale</t>
    </r>
  </si>
  <si>
    <r>
      <rPr>
        <sz val="10"/>
        <rFont val="Verdana"/>
        <family val="2"/>
      </rPr>
      <t>Somme des cinq pertes les plus élevées</t>
    </r>
  </si>
  <si>
    <r>
      <rPr>
        <sz val="10"/>
        <rFont val="Verdana"/>
        <family val="2"/>
      </rPr>
      <t>Recouvrements de pertes directs totaux</t>
    </r>
  </si>
  <si>
    <r>
      <rPr>
        <sz val="10"/>
        <rFont val="Verdana"/>
        <family val="2"/>
      </rPr>
      <t>Recouvrements totaux provenant des assurances et autres mécanismes de transfert du risque</t>
    </r>
  </si>
  <si>
    <r>
      <rPr>
        <b/>
        <sz val="18"/>
        <rFont val="Verdana"/>
        <family val="2"/>
      </rPr>
      <t>C 17.02 - RISQUE OPÉRATIONNEL: ÉVÉNEMENTS DE PERTE IMPORTANTS (OPR DETAILS 2)</t>
    </r>
  </si>
  <si>
    <r>
      <rPr>
        <b/>
        <sz val="11"/>
        <rFont val="Verdana"/>
        <family val="2"/>
      </rPr>
      <t>Identifiant d’évènement</t>
    </r>
  </si>
  <si>
    <r>
      <rPr>
        <b/>
        <sz val="11"/>
        <rFont val="Verdana"/>
        <family val="2"/>
      </rPr>
      <t>Date de comptabilisation</t>
    </r>
  </si>
  <si>
    <r>
      <rPr>
        <b/>
        <sz val="11"/>
        <rFont val="Verdana"/>
        <family val="2"/>
      </rPr>
      <t>Date de survenance</t>
    </r>
  </si>
  <si>
    <r>
      <rPr>
        <b/>
        <sz val="11"/>
        <rFont val="Verdana"/>
        <family val="2"/>
      </rPr>
      <t>Date de détection</t>
    </r>
  </si>
  <si>
    <r>
      <rPr>
        <b/>
        <sz val="11"/>
        <rFont val="Verdana"/>
        <family val="2"/>
      </rPr>
      <t>Type d'événement</t>
    </r>
  </si>
  <si>
    <r>
      <rPr>
        <b/>
        <sz val="11"/>
        <rFont val="Verdana"/>
        <family val="2"/>
      </rPr>
      <t>Perte brute</t>
    </r>
  </si>
  <si>
    <r>
      <rPr>
        <b/>
        <sz val="11"/>
        <rFont val="Verdana"/>
        <family val="2"/>
      </rPr>
      <t>Perte brute nette des recouvrements directs</t>
    </r>
  </si>
  <si>
    <r>
      <rPr>
        <b/>
        <sz val="11"/>
        <rFont val="Verdana"/>
        <family val="2"/>
      </rPr>
      <t>PERTE BRUTE PAR LIGNE D’ACTIVITÉ</t>
    </r>
  </si>
  <si>
    <r>
      <rPr>
        <b/>
        <sz val="11"/>
        <rFont val="Verdana"/>
        <family val="2"/>
      </rPr>
      <t>Nom de l’entité juridique</t>
    </r>
  </si>
  <si>
    <r>
      <rPr>
        <b/>
        <sz val="11"/>
        <rFont val="Verdana"/>
        <family val="2"/>
      </rPr>
      <t>Identifiant d’entité légale</t>
    </r>
  </si>
  <si>
    <r>
      <rPr>
        <b/>
        <sz val="11"/>
        <rFont val="Verdana"/>
        <family val="2"/>
      </rPr>
      <t>Unité opérationnelle</t>
    </r>
  </si>
  <si>
    <r>
      <rPr>
        <b/>
        <sz val="11"/>
        <rFont val="Verdana"/>
        <family val="2"/>
      </rPr>
      <t>Description</t>
    </r>
  </si>
  <si>
    <r>
      <rPr>
        <b/>
        <sz val="11"/>
        <rFont val="Verdana"/>
        <family val="2"/>
      </rPr>
      <t>Financement des entreprises
[CF]</t>
    </r>
  </si>
  <si>
    <r>
      <rPr>
        <b/>
        <sz val="11"/>
        <rFont val="Verdana"/>
        <family val="2"/>
      </rPr>
      <t>Négociation et vente
[TS]</t>
    </r>
  </si>
  <si>
    <r>
      <rPr>
        <b/>
        <sz val="11"/>
        <rFont val="Verdana"/>
        <family val="2"/>
      </rPr>
      <t>Courtage de détail [RBr]</t>
    </r>
  </si>
  <si>
    <r>
      <rPr>
        <b/>
        <sz val="11"/>
        <rFont val="Verdana"/>
        <family val="2"/>
      </rPr>
      <t>Banque commerciale
[CB]</t>
    </r>
  </si>
  <si>
    <r>
      <rPr>
        <b/>
        <sz val="11"/>
        <rFont val="Verdana"/>
        <family val="2"/>
      </rPr>
      <t>Banque 
de détail
[RB]</t>
    </r>
  </si>
  <si>
    <r>
      <rPr>
        <b/>
        <sz val="11"/>
        <rFont val="Verdana"/>
        <family val="2"/>
      </rPr>
      <t>Paiement et règlement [PS]</t>
    </r>
  </si>
  <si>
    <r>
      <rPr>
        <b/>
        <sz val="11"/>
        <rFont val="Verdana"/>
        <family val="2"/>
      </rPr>
      <t>Services
d'agence
[AS]</t>
    </r>
  </si>
  <si>
    <r>
      <rPr>
        <b/>
        <sz val="11"/>
        <rFont val="Verdana"/>
        <family val="2"/>
      </rPr>
      <t>Gestion d'actifs [AM]</t>
    </r>
  </si>
  <si>
    <r>
      <rPr>
        <b/>
        <sz val="11"/>
        <rFont val="Verdana"/>
        <family val="2"/>
      </rPr>
      <t>Éléments d’entreprise
[CI]</t>
    </r>
  </si>
  <si>
    <r>
      <rPr>
        <sz val="10"/>
        <rFont val="Verdana"/>
        <family val="2"/>
      </rPr>
      <t>Ligne</t>
    </r>
  </si>
  <si>
    <r>
      <rPr>
        <sz val="11"/>
        <rFont val="Verdana"/>
        <family val="2"/>
      </rPr>
      <t>010</t>
    </r>
  </si>
  <si>
    <r>
      <rPr>
        <sz val="10"/>
        <rFont val="Verdana"/>
        <family val="2"/>
      </rPr>
      <t>…</t>
    </r>
  </si>
  <si>
    <r>
      <rPr>
        <b/>
        <sz val="20"/>
        <rFont val="Verdana"/>
        <family val="2"/>
      </rPr>
      <t>C 18.00 - RISQUE DE MARCHÉ: APPROCHE STANDARD DES RISQUES DE POSITION RELATIFS AUX TITRES DE CRÉANCE NÉGOCIÉS (MKR SA TDI)</t>
    </r>
  </si>
  <si>
    <r>
      <rPr>
        <b/>
        <sz val="14"/>
        <rFont val="Verdana"/>
        <family val="2"/>
      </rPr>
      <t>Devise:</t>
    </r>
  </si>
  <si>
    <r>
      <rPr>
        <b/>
        <sz val="12"/>
        <rFont val="Verdana"/>
        <family val="2"/>
      </rPr>
      <t>POSITIONS</t>
    </r>
  </si>
  <si>
    <r>
      <rPr>
        <b/>
        <sz val="12"/>
        <rFont val="Verdana"/>
        <family val="2"/>
      </rPr>
      <t>EXIGENCES DE FONDS PROPRES</t>
    </r>
  </si>
  <si>
    <r>
      <rPr>
        <b/>
        <sz val="12"/>
        <rFont val="Verdana"/>
        <family val="2"/>
      </rPr>
      <t>MONTANT TOTAL D'EXPOSITION AU RISQUE</t>
    </r>
  </si>
  <si>
    <r>
      <rPr>
        <b/>
        <sz val="12"/>
        <rFont val="Verdana"/>
        <family val="2"/>
      </rPr>
      <t>TOUTES LES POSITIONS</t>
    </r>
  </si>
  <si>
    <r>
      <rPr>
        <b/>
        <sz val="12"/>
        <rFont val="Verdana"/>
        <family val="2"/>
      </rPr>
      <t>POSITIONS NETTES</t>
    </r>
  </si>
  <si>
    <r>
      <rPr>
        <b/>
        <sz val="12"/>
        <rFont val="Verdana"/>
        <family val="2"/>
      </rPr>
      <t>POSITIONS SOUMISES AUX EXIGENCES DE FONDS PROPRES</t>
    </r>
  </si>
  <si>
    <r>
      <rPr>
        <b/>
        <sz val="12"/>
        <rFont val="Verdana"/>
        <family val="2"/>
      </rPr>
      <t>LONGUES</t>
    </r>
  </si>
  <si>
    <r>
      <rPr>
        <b/>
        <sz val="12"/>
        <rFont val="Verdana"/>
        <family val="2"/>
      </rPr>
      <t>COURTES</t>
    </r>
  </si>
  <si>
    <r>
      <rPr>
        <b/>
        <sz val="12"/>
        <rFont val="Verdana"/>
        <family val="2"/>
      </rPr>
      <t>LONGUES</t>
    </r>
  </si>
  <si>
    <r>
      <rPr>
        <b/>
        <sz val="12"/>
        <rFont val="Verdana"/>
        <family val="2"/>
      </rPr>
      <t>COURTES</t>
    </r>
  </si>
  <si>
    <r>
      <rPr>
        <sz val="12"/>
        <rFont val="Verdana"/>
        <family val="2"/>
      </rPr>
      <t>010</t>
    </r>
  </si>
  <si>
    <r>
      <rPr>
        <sz val="12"/>
        <rFont val="Verdana"/>
        <family val="2"/>
      </rPr>
      <t>020</t>
    </r>
  </si>
  <si>
    <r>
      <rPr>
        <sz val="12"/>
        <rFont val="Verdana"/>
        <family val="2"/>
      </rPr>
      <t>030</t>
    </r>
  </si>
  <si>
    <r>
      <rPr>
        <sz val="12"/>
        <rFont val="Verdana"/>
        <family val="2"/>
      </rPr>
      <t>040</t>
    </r>
  </si>
  <si>
    <r>
      <rPr>
        <sz val="12"/>
        <rFont val="Verdana"/>
        <family val="2"/>
      </rPr>
      <t>050</t>
    </r>
  </si>
  <si>
    <r>
      <rPr>
        <sz val="12"/>
        <rFont val="Verdana"/>
        <family val="2"/>
      </rPr>
      <t>060</t>
    </r>
  </si>
  <si>
    <r>
      <rPr>
        <sz val="12"/>
        <rFont val="Verdana"/>
        <family val="2"/>
      </rPr>
      <t>070</t>
    </r>
  </si>
  <si>
    <r>
      <rPr>
        <sz val="12"/>
        <rFont val="Verdana"/>
        <family val="2"/>
      </rPr>
      <t>010</t>
    </r>
  </si>
  <si>
    <r>
      <rPr>
        <b/>
        <sz val="12"/>
        <rFont val="Verdana"/>
        <family val="2"/>
      </rPr>
      <t>TITRES DE CRÉANCE NÉGOCIÉS DANS LE PORTEFEUILLE DE NÉGOCIATION</t>
    </r>
  </si>
  <si>
    <r>
      <rPr>
        <sz val="12"/>
        <rFont val="Verdana"/>
        <family val="2"/>
      </rPr>
      <t>Cellule liée à l’état CA2</t>
    </r>
  </si>
  <si>
    <r>
      <rPr>
        <sz val="12"/>
        <rFont val="Verdana"/>
        <family val="2"/>
      </rPr>
      <t>011</t>
    </r>
  </si>
  <si>
    <r>
      <rPr>
        <b/>
        <sz val="12"/>
        <rFont val="Verdana"/>
        <family val="2"/>
      </rPr>
      <t>Risque général</t>
    </r>
  </si>
  <si>
    <r>
      <rPr>
        <sz val="12"/>
        <rFont val="Verdana"/>
        <family val="2"/>
      </rPr>
      <t>012</t>
    </r>
  </si>
  <si>
    <r>
      <rPr>
        <sz val="12"/>
        <rFont val="Verdana"/>
        <family val="2"/>
      </rPr>
      <t>Dérivés</t>
    </r>
  </si>
  <si>
    <r>
      <rPr>
        <sz val="12"/>
        <rFont val="Verdana"/>
        <family val="2"/>
      </rPr>
      <t>013</t>
    </r>
  </si>
  <si>
    <r>
      <rPr>
        <sz val="12"/>
        <rFont val="Verdana"/>
        <family val="2"/>
      </rPr>
      <t>Autres éléments d’actif et de passif</t>
    </r>
  </si>
  <si>
    <r>
      <rPr>
        <sz val="12"/>
        <rFont val="Verdana"/>
        <family val="2"/>
      </rPr>
      <t>020</t>
    </r>
  </si>
  <si>
    <r>
      <rPr>
        <sz val="12"/>
        <rFont val="Verdana"/>
        <family val="2"/>
      </rPr>
      <t xml:space="preserve"> Approche basée sur l’échéance</t>
    </r>
  </si>
  <si>
    <r>
      <rPr>
        <sz val="12"/>
        <rFont val="Verdana"/>
        <family val="2"/>
      </rPr>
      <t>030</t>
    </r>
  </si>
  <si>
    <r>
      <rPr>
        <sz val="12"/>
        <rFont val="Verdana"/>
        <family val="2"/>
      </rPr>
      <t>Zone 1</t>
    </r>
  </si>
  <si>
    <r>
      <rPr>
        <sz val="12"/>
        <rFont val="Verdana"/>
        <family val="2"/>
      </rPr>
      <t>040</t>
    </r>
  </si>
  <si>
    <r>
      <rPr>
        <sz val="12"/>
        <rFont val="Verdana"/>
        <family val="2"/>
      </rPr>
      <t>0 ≤ 1 mois</t>
    </r>
  </si>
  <si>
    <r>
      <rPr>
        <sz val="12"/>
        <rFont val="Verdana"/>
        <family val="2"/>
      </rPr>
      <t>050</t>
    </r>
  </si>
  <si>
    <r>
      <rPr>
        <sz val="12"/>
        <rFont val="Verdana"/>
        <family val="2"/>
      </rPr>
      <t>&gt; 1 ≤ 3 mois</t>
    </r>
  </si>
  <si>
    <r>
      <rPr>
        <sz val="12"/>
        <rFont val="Verdana"/>
        <family val="2"/>
      </rPr>
      <t>060</t>
    </r>
  </si>
  <si>
    <r>
      <rPr>
        <sz val="12"/>
        <rFont val="Verdana"/>
        <family val="2"/>
      </rPr>
      <t>&gt; 3 ≤ 6 mois</t>
    </r>
  </si>
  <si>
    <r>
      <rPr>
        <sz val="12"/>
        <rFont val="Verdana"/>
        <family val="2"/>
      </rPr>
      <t>070</t>
    </r>
  </si>
  <si>
    <r>
      <rPr>
        <sz val="12"/>
        <rFont val="Verdana"/>
        <family val="2"/>
      </rPr>
      <t>&gt; 6 ≤ 12 mois</t>
    </r>
  </si>
  <si>
    <r>
      <rPr>
        <sz val="12"/>
        <rFont val="Verdana"/>
        <family val="2"/>
      </rPr>
      <t>080</t>
    </r>
  </si>
  <si>
    <r>
      <rPr>
        <sz val="12"/>
        <rFont val="Verdana"/>
        <family val="2"/>
      </rPr>
      <t>Zone 2</t>
    </r>
  </si>
  <si>
    <r>
      <rPr>
        <sz val="12"/>
        <rFont val="Verdana"/>
        <family val="2"/>
      </rPr>
      <t>090</t>
    </r>
  </si>
  <si>
    <r>
      <rPr>
        <sz val="12"/>
        <rFont val="Verdana"/>
        <family val="2"/>
      </rPr>
      <t>&gt; 1 ≤ 2 (1,9 pour un coupon de moins de 3 %) ans</t>
    </r>
  </si>
  <si>
    <r>
      <rPr>
        <sz val="12"/>
        <rFont val="Verdana"/>
        <family val="2"/>
      </rPr>
      <t>100</t>
    </r>
  </si>
  <si>
    <r>
      <rPr>
        <sz val="12"/>
        <rFont val="Verdana"/>
        <family val="2"/>
      </rPr>
      <t>&gt; 2 ≤ 3 (&gt; 1,9 ≤ 2,8 pour un coupon de moins de 3 %) ans</t>
    </r>
  </si>
  <si>
    <r>
      <rPr>
        <sz val="12"/>
        <rFont val="Verdana"/>
        <family val="2"/>
      </rPr>
      <t>110</t>
    </r>
  </si>
  <si>
    <r>
      <rPr>
        <sz val="12"/>
        <rFont val="Verdana"/>
        <family val="2"/>
      </rPr>
      <t>&gt; 3 ≤ 4 (&gt; 2,8 ≤ 3,6 pour un coupon de moins de 3 %) ans</t>
    </r>
  </si>
  <si>
    <r>
      <rPr>
        <sz val="12"/>
        <rFont val="Verdana"/>
        <family val="2"/>
      </rPr>
      <t>120</t>
    </r>
  </si>
  <si>
    <r>
      <rPr>
        <sz val="12"/>
        <rFont val="Verdana"/>
        <family val="2"/>
      </rPr>
      <t>Zone 3</t>
    </r>
  </si>
  <si>
    <r>
      <rPr>
        <sz val="12"/>
        <rFont val="Verdana"/>
        <family val="2"/>
      </rPr>
      <t>130</t>
    </r>
  </si>
  <si>
    <r>
      <rPr>
        <sz val="12"/>
        <rFont val="Verdana"/>
        <family val="2"/>
      </rPr>
      <t>&gt; 4 ≤ 5 (&gt; 3,6 ≤ 4,3 pour un coupon de moins de 3 %) ans</t>
    </r>
  </si>
  <si>
    <r>
      <rPr>
        <sz val="12"/>
        <rFont val="Verdana"/>
        <family val="2"/>
      </rPr>
      <t>140</t>
    </r>
  </si>
  <si>
    <r>
      <rPr>
        <sz val="12"/>
        <rFont val="Verdana"/>
        <family val="2"/>
      </rPr>
      <t>&gt; 5 ≤ 7 (&gt; 4,3 ≤ 5,7 pour un coupon de moins de 3 %) ans</t>
    </r>
  </si>
  <si>
    <r>
      <rPr>
        <sz val="12"/>
        <rFont val="Verdana"/>
        <family val="2"/>
      </rPr>
      <t>150</t>
    </r>
  </si>
  <si>
    <r>
      <rPr>
        <sz val="12"/>
        <rFont val="Verdana"/>
        <family val="2"/>
      </rPr>
      <t>&gt; 7 ≤ 10 (&gt; 5,7 ≤ 7,3 pour un coupon de moins de 3 %) ans</t>
    </r>
  </si>
  <si>
    <r>
      <rPr>
        <sz val="12"/>
        <rFont val="Verdana"/>
        <family val="2"/>
      </rPr>
      <t>160</t>
    </r>
  </si>
  <si>
    <r>
      <rPr>
        <sz val="12"/>
        <rFont val="Verdana"/>
        <family val="2"/>
      </rPr>
      <t>&gt; 10 ≤ 15 (&gt; 7,3 ≤ 9,3 pour un coupon de moins de 3 %) ans</t>
    </r>
  </si>
  <si>
    <r>
      <rPr>
        <sz val="12"/>
        <rFont val="Verdana"/>
        <family val="2"/>
      </rPr>
      <t>170</t>
    </r>
  </si>
  <si>
    <r>
      <rPr>
        <sz val="12"/>
        <rFont val="Verdana"/>
        <family val="2"/>
      </rPr>
      <t>&gt; 15 ≤ 20 (&gt; 9,3 ≤ 10,6 pour un coupon de moins de 3 %) ans</t>
    </r>
  </si>
  <si>
    <r>
      <rPr>
        <sz val="12"/>
        <rFont val="Verdana"/>
        <family val="2"/>
      </rPr>
      <t>180</t>
    </r>
  </si>
  <si>
    <r>
      <rPr>
        <sz val="12"/>
        <rFont val="Verdana"/>
        <family val="2"/>
      </rPr>
      <t>&gt; 20 (gt; 10,6 ≤ 12,0 pour un coupon de moins de 3 %) ans</t>
    </r>
  </si>
  <si>
    <r>
      <rPr>
        <sz val="12"/>
        <rFont val="Verdana"/>
        <family val="2"/>
      </rPr>
      <t>190</t>
    </r>
  </si>
  <si>
    <r>
      <rPr>
        <sz val="12"/>
        <rFont val="Verdana"/>
        <family val="2"/>
      </rPr>
      <t xml:space="preserve"> (&gt; 12,0 ≤ 20,0 pour un coupon de moins de 3 %) ans</t>
    </r>
  </si>
  <si>
    <r>
      <rPr>
        <sz val="12"/>
        <rFont val="Verdana"/>
        <family val="2"/>
      </rPr>
      <t>200</t>
    </r>
  </si>
  <si>
    <r>
      <rPr>
        <sz val="12"/>
        <rFont val="Verdana"/>
        <family val="2"/>
      </rPr>
      <t xml:space="preserve"> (&gt; 20 pour un coupon de moins de 3 %) ans</t>
    </r>
  </si>
  <si>
    <r>
      <rPr>
        <sz val="12"/>
        <rFont val="Verdana"/>
        <family val="2"/>
      </rPr>
      <t>210</t>
    </r>
  </si>
  <si>
    <r>
      <rPr>
        <sz val="12"/>
        <rFont val="Verdana"/>
        <family val="2"/>
      </rPr>
      <t>Approche basée sur la duration</t>
    </r>
  </si>
  <si>
    <r>
      <rPr>
        <sz val="12"/>
        <rFont val="Verdana"/>
        <family val="2"/>
      </rPr>
      <t>220</t>
    </r>
  </si>
  <si>
    <r>
      <rPr>
        <sz val="12"/>
        <rFont val="Verdana"/>
        <family val="2"/>
      </rPr>
      <t>Zone 1</t>
    </r>
  </si>
  <si>
    <r>
      <rPr>
        <sz val="12"/>
        <rFont val="Verdana"/>
        <family val="2"/>
      </rPr>
      <t>230</t>
    </r>
  </si>
  <si>
    <r>
      <rPr>
        <sz val="12"/>
        <rFont val="Verdana"/>
        <family val="2"/>
      </rPr>
      <t>Zone 2</t>
    </r>
  </si>
  <si>
    <r>
      <rPr>
        <sz val="12"/>
        <rFont val="Verdana"/>
        <family val="2"/>
      </rPr>
      <t>240</t>
    </r>
  </si>
  <si>
    <r>
      <rPr>
        <sz val="12"/>
        <rFont val="Verdana"/>
        <family val="2"/>
      </rPr>
      <t>Zone 3</t>
    </r>
  </si>
  <si>
    <r>
      <rPr>
        <sz val="12"/>
        <rFont val="Verdana"/>
        <family val="2"/>
      </rPr>
      <t>250</t>
    </r>
  </si>
  <si>
    <r>
      <rPr>
        <b/>
        <sz val="12"/>
        <rFont val="Verdana"/>
        <family val="2"/>
      </rPr>
      <t>Risque spécifique</t>
    </r>
  </si>
  <si>
    <r>
      <rPr>
        <sz val="12"/>
        <rFont val="Verdana"/>
        <family val="2"/>
      </rPr>
      <t>Exigences de fonds propres applicables aux titres de créances autres que des positions de titrisation</t>
    </r>
  </si>
  <si>
    <r>
      <rPr>
        <sz val="12"/>
        <rFont val="Verdana"/>
        <family val="2"/>
      </rPr>
      <t>260</t>
    </r>
  </si>
  <si>
    <r>
      <rPr>
        <sz val="12"/>
        <rFont val="Verdana"/>
        <family val="2"/>
      </rPr>
      <t xml:space="preserve">Titres de créance de première catégorie dans le Tableau 1 </t>
    </r>
  </si>
  <si>
    <r>
      <rPr>
        <sz val="12"/>
        <rFont val="Verdana"/>
        <family val="2"/>
      </rPr>
      <t>270</t>
    </r>
  </si>
  <si>
    <r>
      <rPr>
        <sz val="12"/>
        <rFont val="Verdana"/>
        <family val="2"/>
      </rPr>
      <t xml:space="preserve">Titres de créance de deuxième catégorie dans le Tableau 1 </t>
    </r>
  </si>
  <si>
    <r>
      <rPr>
        <sz val="12"/>
        <rFont val="Verdana"/>
        <family val="2"/>
      </rPr>
      <t>280</t>
    </r>
  </si>
  <si>
    <r>
      <rPr>
        <sz val="12"/>
        <rFont val="Verdana"/>
        <family val="2"/>
      </rPr>
      <t>Durée résiduelle ≤ 6 mois</t>
    </r>
  </si>
  <si>
    <r>
      <rPr>
        <sz val="12"/>
        <rFont val="Verdana"/>
        <family val="2"/>
      </rPr>
      <t>290</t>
    </r>
  </si>
  <si>
    <r>
      <rPr>
        <sz val="12"/>
        <rFont val="Verdana"/>
        <family val="2"/>
      </rPr>
      <t>Durée résiduelle &gt; 6 mois et ≤ 24 mois</t>
    </r>
  </si>
  <si>
    <r>
      <rPr>
        <sz val="12"/>
        <rFont val="Verdana"/>
        <family val="2"/>
      </rPr>
      <t>300</t>
    </r>
  </si>
  <si>
    <r>
      <rPr>
        <sz val="12"/>
        <rFont val="Verdana"/>
        <family val="2"/>
      </rPr>
      <t>Durée résiduelle &gt; 24 mois</t>
    </r>
  </si>
  <si>
    <r>
      <rPr>
        <sz val="12"/>
        <rFont val="Verdana"/>
        <family val="2"/>
      </rPr>
      <t>310</t>
    </r>
  </si>
  <si>
    <r>
      <rPr>
        <sz val="12"/>
        <rFont val="Verdana"/>
        <family val="2"/>
      </rPr>
      <t xml:space="preserve">Titres de créance de troisième catégorie dans le Tableau 1 </t>
    </r>
  </si>
  <si>
    <r>
      <rPr>
        <sz val="12"/>
        <rFont val="Verdana"/>
        <family val="2"/>
      </rPr>
      <t>320</t>
    </r>
  </si>
  <si>
    <r>
      <rPr>
        <sz val="12"/>
        <rFont val="Verdana"/>
        <family val="2"/>
      </rPr>
      <t xml:space="preserve">Titres de créance de quatrième catégorie dans le Tableau 1 </t>
    </r>
  </si>
  <si>
    <r>
      <rPr>
        <sz val="12"/>
        <rFont val="Verdana"/>
        <family val="2"/>
      </rPr>
      <t>321</t>
    </r>
  </si>
  <si>
    <r>
      <rPr>
        <sz val="12"/>
        <rFont val="Verdana"/>
        <family val="2"/>
      </rPr>
      <t>Dérivés de crédit notés au nième défaut</t>
    </r>
  </si>
  <si>
    <r>
      <rPr>
        <sz val="12"/>
        <rFont val="Verdana"/>
        <family val="2"/>
      </rPr>
      <t>Exigences de fonds propres applicables aux positions de titrisation</t>
    </r>
  </si>
  <si>
    <r>
      <rPr>
        <sz val="12"/>
        <rFont val="Verdana"/>
        <family val="2"/>
      </rPr>
      <t>Exigences de fonds propres applicables au portefeuille de négociation en corrélation</t>
    </r>
  </si>
  <si>
    <r>
      <rPr>
        <sz val="12"/>
        <rFont val="Verdana"/>
        <family val="2"/>
      </rPr>
      <t>350</t>
    </r>
  </si>
  <si>
    <r>
      <rPr>
        <sz val="12"/>
        <rFont val="Verdana"/>
        <family val="2"/>
      </rPr>
      <t>Exigences supplémentaires pour risques sur options (risques non delta)</t>
    </r>
  </si>
  <si>
    <r>
      <rPr>
        <sz val="12"/>
        <rFont val="Verdana"/>
        <family val="2"/>
      </rPr>
      <t>Méthode simplifiée</t>
    </r>
  </si>
  <si>
    <r>
      <rPr>
        <sz val="12"/>
        <rFont val="Verdana"/>
        <family val="2"/>
      </rPr>
      <t>Méthode delta-plus - Exigences supplémentaires pour risque gamma</t>
    </r>
  </si>
  <si>
    <r>
      <rPr>
        <sz val="12"/>
        <rFont val="Verdana"/>
        <family val="2"/>
      </rPr>
      <t>Méthode delta-plus - Exigences supplémentaires pour risque vega</t>
    </r>
  </si>
  <si>
    <r>
      <rPr>
        <sz val="12"/>
        <rFont val="Verdana"/>
        <family val="2"/>
      </rPr>
      <t xml:space="preserve">Approche matricielle par scénario </t>
    </r>
  </si>
  <si>
    <r>
      <rPr>
        <b/>
        <sz val="36"/>
        <color rgb="FF000000"/>
        <rFont val="Verdana"/>
        <family val="2"/>
      </rPr>
      <t xml:space="preserve"> C 19.00 - RISQUE DE MARCHÉ: APPROCHE STANDARD DU RISQUE SPÉCIFIQUE EN TITRISATION (MKR SA SEC)</t>
    </r>
  </si>
  <si>
    <r>
      <rPr>
        <b/>
        <sz val="36"/>
        <color rgb="FF000000"/>
        <rFont val="Verdana"/>
        <family val="2"/>
      </rPr>
      <t>C 19.00 - RISQUE DE MARCHÉ: APPROCHE STANDARD DU RISQUE SPÉCIFIQUE EN TITRISATION (MKR SA SEC)</t>
    </r>
  </si>
  <si>
    <r>
      <rPr>
        <b/>
        <sz val="36"/>
        <color rgb="FF000000"/>
        <rFont val="Verdana"/>
        <family val="2"/>
      </rPr>
      <t>C 19.00 - RISQUE DE MARCHÉ: APPROCHE STANDARD DU RISQUE SPÉCIFIQUE EN TITRISATION (MKR SA SEC)</t>
    </r>
  </si>
  <si>
    <r>
      <rPr>
        <b/>
        <sz val="18"/>
        <rFont val="Verdana"/>
        <family val="2"/>
      </rPr>
      <t>TOUTES LES POSITIONS</t>
    </r>
  </si>
  <si>
    <r>
      <rPr>
        <b/>
        <sz val="18"/>
        <rFont val="Verdana"/>
        <family val="2"/>
      </rPr>
      <t>(-) POSITIONS DÉDUITES DES FONDS PROPRES</t>
    </r>
  </si>
  <si>
    <r>
      <rPr>
        <b/>
        <sz val="18"/>
        <rFont val="Verdana"/>
        <family val="2"/>
      </rPr>
      <t>POSITIONS NETTES</t>
    </r>
  </si>
  <si>
    <r>
      <rPr>
        <b/>
        <sz val="22"/>
        <rFont val="Verdana"/>
        <family val="2"/>
      </rPr>
      <t>RÉPARTITION DES POSITIONS (LONGUES) NETTES SELON LES PONDÉRATIONS DES APPROCHES SA ET NI</t>
    </r>
  </si>
  <si>
    <r>
      <rPr>
        <b/>
        <sz val="22"/>
        <rFont val="Verdana"/>
        <family val="2"/>
      </rPr>
      <t>RÉPARTITION DES POSITIONS (COURTES) NETTES SELON LES PONDÉRATIONS DES APPROCHES SA ET NI</t>
    </r>
  </si>
  <si>
    <r>
      <rPr>
        <b/>
        <sz val="18"/>
        <rFont val="Verdana"/>
        <family val="2"/>
      </rPr>
      <t>EFFET GLOBAL (AJUSTEMENT) LIÉ AU MANQUEMENT AUX DISPOSITIONS EN MATIÈRE DE DILIGENCE APPROPRIÉE</t>
    </r>
  </si>
  <si>
    <r>
      <rPr>
        <b/>
        <sz val="18"/>
        <rFont val="Verdana"/>
        <family val="2"/>
      </rPr>
      <t>AVANT APPLICATION DU PLAFOND</t>
    </r>
  </si>
  <si>
    <r>
      <rPr>
        <b/>
        <sz val="18"/>
        <rFont val="Verdana"/>
        <family val="2"/>
      </rPr>
      <t xml:space="preserve">APRÈS APPLICATION DU PLAFOND </t>
    </r>
  </si>
  <si>
    <r>
      <rPr>
        <b/>
        <sz val="18"/>
        <rFont val="Verdana"/>
        <family val="2"/>
      </rPr>
      <t xml:space="preserve">TOTAL DES EXIGENCES DE FONDS PROPRES </t>
    </r>
  </si>
  <si>
    <r>
      <rPr>
        <b/>
        <sz val="18"/>
        <rFont val="Verdana"/>
        <family val="2"/>
      </rPr>
      <t>PONDÉRATIONS DE RISQUE &lt; 1 250 %</t>
    </r>
  </si>
  <si>
    <r>
      <rPr>
        <b/>
        <sz val="18"/>
        <rFont val="Verdana"/>
        <family val="2"/>
      </rPr>
      <t>MÉTHODE DE LA FORMULE PRUDENTIELLE</t>
    </r>
  </si>
  <si>
    <r>
      <rPr>
        <b/>
        <sz val="18"/>
        <rFont val="Verdana"/>
        <family val="2"/>
      </rPr>
      <t>APPROCHE PAR TRANSPARENCE</t>
    </r>
  </si>
  <si>
    <r>
      <rPr>
        <b/>
        <sz val="18"/>
        <rFont val="Verdana"/>
        <family val="2"/>
      </rPr>
      <t xml:space="preserve"> APPROCHE PAR ÉVALUATION INTERNE</t>
    </r>
  </si>
  <si>
    <r>
      <rPr>
        <b/>
        <sz val="18"/>
        <rFont val="Verdana"/>
        <family val="2"/>
      </rPr>
      <t>PONDÉRATIONS DE RISQUE &lt; 1 250 %</t>
    </r>
  </si>
  <si>
    <r>
      <rPr>
        <b/>
        <sz val="18"/>
        <rFont val="Verdana"/>
        <family val="2"/>
      </rPr>
      <t>MÉTHODE DE LA FORMULE PRUDENTIELLE</t>
    </r>
  </si>
  <si>
    <r>
      <rPr>
        <b/>
        <sz val="18"/>
        <rFont val="Verdana"/>
        <family val="2"/>
      </rPr>
      <t>APPROCHE PAR TRANSPARENCE</t>
    </r>
  </si>
  <si>
    <r>
      <rPr>
        <b/>
        <sz val="18"/>
        <rFont val="Verdana"/>
        <family val="2"/>
      </rPr>
      <t xml:space="preserve"> APPROCHE PAR ÉVALUATION INTERNE</t>
    </r>
  </si>
  <si>
    <r>
      <rPr>
        <b/>
        <sz val="18"/>
        <rFont val="Verdana"/>
        <family val="2"/>
      </rPr>
      <t>LONGUES</t>
    </r>
  </si>
  <si>
    <r>
      <rPr>
        <b/>
        <sz val="18"/>
        <rFont val="Verdana"/>
        <family val="2"/>
      </rPr>
      <t>COURTES</t>
    </r>
  </si>
  <si>
    <r>
      <rPr>
        <b/>
        <sz val="18"/>
        <rFont val="Verdana"/>
        <family val="2"/>
      </rPr>
      <t>(-) LONGUES</t>
    </r>
  </si>
  <si>
    <r>
      <rPr>
        <b/>
        <sz val="18"/>
        <rFont val="Verdana"/>
        <family val="2"/>
      </rPr>
      <t>(-) COURTES</t>
    </r>
  </si>
  <si>
    <r>
      <rPr>
        <b/>
        <sz val="18"/>
        <rFont val="Verdana"/>
        <family val="2"/>
      </rPr>
      <t>LONGUES</t>
    </r>
  </si>
  <si>
    <r>
      <rPr>
        <b/>
        <sz val="18"/>
        <rFont val="Verdana"/>
        <family val="2"/>
      </rPr>
      <t>COURTES</t>
    </r>
  </si>
  <si>
    <r>
      <rPr>
        <b/>
        <sz val="18"/>
        <rFont val="Verdana"/>
        <family val="2"/>
      </rPr>
      <t>7 - 10 %</t>
    </r>
  </si>
  <si>
    <r>
      <rPr>
        <b/>
        <sz val="18"/>
        <rFont val="Verdana"/>
        <family val="2"/>
      </rPr>
      <t>12 - 18 %</t>
    </r>
  </si>
  <si>
    <r>
      <rPr>
        <b/>
        <sz val="18"/>
        <rFont val="Verdana"/>
        <family val="2"/>
      </rPr>
      <t>20 - 35 %</t>
    </r>
  </si>
  <si>
    <r>
      <rPr>
        <b/>
        <sz val="18"/>
        <rFont val="Verdana"/>
        <family val="2"/>
      </rPr>
      <t>40 - 75 %</t>
    </r>
  </si>
  <si>
    <r>
      <rPr>
        <b/>
        <sz val="18"/>
        <rFont val="Verdana"/>
        <family val="2"/>
      </rPr>
      <t>POSITIONS NOTÉES</t>
    </r>
  </si>
  <si>
    <r>
      <rPr>
        <b/>
        <sz val="18"/>
        <rFont val="Verdana"/>
        <family val="2"/>
      </rPr>
      <t>POSITIONS NON NOTÉES</t>
    </r>
  </si>
  <si>
    <r>
      <rPr>
        <b/>
        <sz val="18"/>
        <rFont val="Verdana"/>
        <family val="2"/>
      </rPr>
      <t>PONDÉRATION MOYENNE (%)</t>
    </r>
  </si>
  <si>
    <r>
      <rPr>
        <b/>
        <sz val="18"/>
        <rFont val="Verdana"/>
        <family val="2"/>
      </rPr>
      <t>PONDÉRATION MOYENNE (%)</t>
    </r>
  </si>
  <si>
    <r>
      <rPr>
        <b/>
        <sz val="18"/>
        <rFont val="Verdana"/>
        <family val="2"/>
      </rPr>
      <t>7 - 10 %</t>
    </r>
  </si>
  <si>
    <r>
      <rPr>
        <b/>
        <sz val="18"/>
        <rFont val="Verdana"/>
        <family val="2"/>
      </rPr>
      <t>12 - 18 %</t>
    </r>
  </si>
  <si>
    <r>
      <rPr>
        <b/>
        <sz val="18"/>
        <rFont val="Verdana"/>
        <family val="2"/>
      </rPr>
      <t>20 - 35 %</t>
    </r>
  </si>
  <si>
    <r>
      <rPr>
        <b/>
        <sz val="18"/>
        <rFont val="Verdana"/>
        <family val="2"/>
      </rPr>
      <t>40 - 75 %</t>
    </r>
  </si>
  <si>
    <r>
      <rPr>
        <b/>
        <sz val="18"/>
        <rFont val="Verdana"/>
        <family val="2"/>
      </rPr>
      <t>POSITIONS NOTÉES</t>
    </r>
  </si>
  <si>
    <r>
      <rPr>
        <b/>
        <sz val="18"/>
        <rFont val="Verdana"/>
        <family val="2"/>
      </rPr>
      <t>POSITIONS NON NOTÉES</t>
    </r>
  </si>
  <si>
    <r>
      <rPr>
        <b/>
        <sz val="18"/>
        <rFont val="Verdana"/>
        <family val="2"/>
      </rPr>
      <t>PONDÉRATION MOYENNE (%)</t>
    </r>
  </si>
  <si>
    <r>
      <rPr>
        <b/>
        <sz val="18"/>
        <rFont val="Verdana"/>
        <family val="2"/>
      </rPr>
      <t>PONDÉRATION MOYENNE (%)</t>
    </r>
  </si>
  <si>
    <r>
      <rPr>
        <b/>
        <sz val="18"/>
        <color rgb="FF000000"/>
        <rFont val="Verdana"/>
        <family val="2"/>
      </rPr>
      <t>POSITIONS LONGUES NETTES PONDÉRÉES</t>
    </r>
  </si>
  <si>
    <r>
      <rPr>
        <b/>
        <sz val="18"/>
        <rFont val="Verdana"/>
        <family val="2"/>
      </rPr>
      <t>POSITIONS COURTES NETTES PONDÉRÉES</t>
    </r>
  </si>
  <si>
    <r>
      <rPr>
        <b/>
        <sz val="18"/>
        <rFont val="Verdana"/>
        <family val="2"/>
      </rPr>
      <t>POSITIONS LONGUES NETTES PONDÉRÉES</t>
    </r>
  </si>
  <si>
    <r>
      <rPr>
        <b/>
        <sz val="18"/>
        <rFont val="Verdana"/>
        <family val="2"/>
      </rPr>
      <t>POSITIONS COURTES NETTES PONDÉRÉES</t>
    </r>
  </si>
  <si>
    <r>
      <rPr>
        <b/>
        <sz val="18"/>
        <rFont val="Verdana"/>
        <family val="2"/>
      </rPr>
      <t>SOMME DES POSITIONS LONGUES ET COURTES NETTES PONDÉRÉES</t>
    </r>
  </si>
  <si>
    <r>
      <rPr>
        <b/>
        <sz val="18"/>
        <rFont val="Verdana"/>
        <family val="2"/>
      </rPr>
      <t>POSITIONS LONGUES NETTES PONDÉRÉES</t>
    </r>
  </si>
  <si>
    <r>
      <rPr>
        <b/>
        <sz val="18"/>
        <rFont val="Verdana"/>
        <family val="2"/>
      </rPr>
      <t>POSITIONS COURTES NETTES PONDÉRÉES</t>
    </r>
  </si>
  <si>
    <r>
      <rPr>
        <b/>
        <sz val="18"/>
        <rFont val="Verdana"/>
        <family val="2"/>
      </rPr>
      <t>SOMME DES POSITIONS LONGUES ET COURTES NETTES PONDÉRÉES</t>
    </r>
  </si>
  <si>
    <r>
      <rPr>
        <sz val="20"/>
        <color rgb="FF000000"/>
        <rFont val="Verdana"/>
        <family val="2"/>
      </rPr>
      <t>010</t>
    </r>
  </si>
  <si>
    <r>
      <rPr>
        <sz val="20"/>
        <color rgb="FF000000"/>
        <rFont val="Verdana"/>
        <family val="2"/>
      </rPr>
      <t>020</t>
    </r>
  </si>
  <si>
    <r>
      <rPr>
        <sz val="20"/>
        <color rgb="FF000000"/>
        <rFont val="Verdana"/>
        <family val="2"/>
      </rPr>
      <t>030</t>
    </r>
  </si>
  <si>
    <r>
      <rPr>
        <sz val="20"/>
        <color rgb="FF000000"/>
        <rFont val="Verdana"/>
        <family val="2"/>
      </rPr>
      <t>040</t>
    </r>
  </si>
  <si>
    <r>
      <rPr>
        <sz val="20"/>
        <color rgb="FF000000"/>
        <rFont val="Verdana"/>
        <family val="2"/>
      </rPr>
      <t>050</t>
    </r>
  </si>
  <si>
    <r>
      <rPr>
        <sz val="20"/>
        <color rgb="FF000000"/>
        <rFont val="Verdana"/>
        <family val="2"/>
      </rPr>
      <t>060</t>
    </r>
  </si>
  <si>
    <r>
      <rPr>
        <sz val="20"/>
        <color rgb="FF000000"/>
        <rFont val="Verdana"/>
        <family val="2"/>
      </rPr>
      <t>070</t>
    </r>
  </si>
  <si>
    <r>
      <rPr>
        <sz val="20"/>
        <color rgb="FF000000"/>
        <rFont val="Verdana"/>
        <family val="2"/>
      </rPr>
      <t>080</t>
    </r>
  </si>
  <si>
    <r>
      <rPr>
        <sz val="20"/>
        <color rgb="FF000000"/>
        <rFont val="Verdana"/>
        <family val="2"/>
      </rPr>
      <t>090</t>
    </r>
  </si>
  <si>
    <r>
      <rPr>
        <sz val="20"/>
        <color rgb="FF000000"/>
        <rFont val="Verdana"/>
        <family val="2"/>
      </rPr>
      <t>100</t>
    </r>
  </si>
  <si>
    <r>
      <rPr>
        <sz val="20"/>
        <color rgb="FF000000"/>
        <rFont val="Verdana"/>
        <family val="2"/>
      </rPr>
      <t>110</t>
    </r>
  </si>
  <si>
    <r>
      <rPr>
        <sz val="20"/>
        <color rgb="FF000000"/>
        <rFont val="Verdana"/>
        <family val="2"/>
      </rPr>
      <t>120</t>
    </r>
  </si>
  <si>
    <r>
      <rPr>
        <sz val="20"/>
        <color rgb="FF000000"/>
        <rFont val="Verdana"/>
        <family val="2"/>
      </rPr>
      <t>130</t>
    </r>
  </si>
  <si>
    <r>
      <rPr>
        <sz val="20"/>
        <color rgb="FF000000"/>
        <rFont val="Verdana"/>
        <family val="2"/>
      </rPr>
      <t>140</t>
    </r>
  </si>
  <si>
    <r>
      <rPr>
        <sz val="20"/>
        <color rgb="FF000000"/>
        <rFont val="Verdana"/>
        <family val="2"/>
      </rPr>
      <t>150</t>
    </r>
  </si>
  <si>
    <r>
      <rPr>
        <sz val="20"/>
        <color rgb="FF000000"/>
        <rFont val="Verdana"/>
        <family val="2"/>
      </rPr>
      <t>160</t>
    </r>
  </si>
  <si>
    <r>
      <rPr>
        <sz val="20"/>
        <color rgb="FF000000"/>
        <rFont val="Verdana"/>
        <family val="2"/>
      </rPr>
      <t>170</t>
    </r>
  </si>
  <si>
    <r>
      <rPr>
        <sz val="20"/>
        <color rgb="FF000000"/>
        <rFont val="Verdana"/>
        <family val="2"/>
      </rPr>
      <t>180</t>
    </r>
  </si>
  <si>
    <r>
      <rPr>
        <sz val="20"/>
        <color rgb="FF000000"/>
        <rFont val="Verdana"/>
        <family val="2"/>
      </rPr>
      <t>190</t>
    </r>
  </si>
  <si>
    <r>
      <rPr>
        <sz val="20"/>
        <color rgb="FF000000"/>
        <rFont val="Verdana"/>
        <family val="2"/>
      </rPr>
      <t>200</t>
    </r>
  </si>
  <si>
    <r>
      <rPr>
        <sz val="20"/>
        <color rgb="FF000000"/>
        <rFont val="Verdana"/>
        <family val="2"/>
      </rPr>
      <t>210</t>
    </r>
  </si>
  <si>
    <r>
      <rPr>
        <sz val="20"/>
        <color rgb="FF000000"/>
        <rFont val="Verdana"/>
        <family val="2"/>
      </rPr>
      <t>220</t>
    </r>
  </si>
  <si>
    <r>
      <rPr>
        <sz val="20"/>
        <color rgb="FF000000"/>
        <rFont val="Verdana"/>
        <family val="2"/>
      </rPr>
      <t>230</t>
    </r>
  </si>
  <si>
    <r>
      <rPr>
        <sz val="20"/>
        <color rgb="FF000000"/>
        <rFont val="Verdana"/>
        <family val="2"/>
      </rPr>
      <t>240</t>
    </r>
  </si>
  <si>
    <r>
      <rPr>
        <sz val="20"/>
        <color rgb="FF000000"/>
        <rFont val="Verdana"/>
        <family val="2"/>
      </rPr>
      <t>250</t>
    </r>
  </si>
  <si>
    <r>
      <rPr>
        <sz val="20"/>
        <color rgb="FF000000"/>
        <rFont val="Verdana"/>
        <family val="2"/>
      </rPr>
      <t>260</t>
    </r>
  </si>
  <si>
    <r>
      <rPr>
        <sz val="20"/>
        <color rgb="FF000000"/>
        <rFont val="Verdana"/>
        <family val="2"/>
      </rPr>
      <t>270</t>
    </r>
  </si>
  <si>
    <r>
      <rPr>
        <sz val="20"/>
        <color rgb="FF000000"/>
        <rFont val="Verdana"/>
        <family val="2"/>
      </rPr>
      <t>280</t>
    </r>
  </si>
  <si>
    <r>
      <rPr>
        <sz val="20"/>
        <color rgb="FF000000"/>
        <rFont val="Verdana"/>
        <family val="2"/>
      </rPr>
      <t>290</t>
    </r>
  </si>
  <si>
    <r>
      <rPr>
        <sz val="20"/>
        <color rgb="FF000000"/>
        <rFont val="Verdana"/>
        <family val="2"/>
      </rPr>
      <t>300</t>
    </r>
  </si>
  <si>
    <r>
      <rPr>
        <sz val="20"/>
        <color rgb="FF000000"/>
        <rFont val="Verdana"/>
        <family val="2"/>
      </rPr>
      <t>310</t>
    </r>
  </si>
  <si>
    <r>
      <rPr>
        <sz val="20"/>
        <color rgb="FF000000"/>
        <rFont val="Verdana"/>
        <family val="2"/>
      </rPr>
      <t>320</t>
    </r>
  </si>
  <si>
    <r>
      <rPr>
        <sz val="20"/>
        <color rgb="FF000000"/>
        <rFont val="Verdana"/>
        <family val="2"/>
      </rPr>
      <t>330</t>
    </r>
  </si>
  <si>
    <r>
      <rPr>
        <sz val="20"/>
        <color rgb="FF000000"/>
        <rFont val="Verdana"/>
        <family val="2"/>
      </rPr>
      <t>340</t>
    </r>
  </si>
  <si>
    <r>
      <rPr>
        <sz val="20"/>
        <color rgb="FF000000"/>
        <rFont val="Verdana"/>
        <family val="2"/>
      </rPr>
      <t>350</t>
    </r>
  </si>
  <si>
    <r>
      <rPr>
        <sz val="20"/>
        <color rgb="FF000000"/>
        <rFont val="Verdana"/>
        <family val="2"/>
      </rPr>
      <t>360</t>
    </r>
  </si>
  <si>
    <r>
      <rPr>
        <sz val="20"/>
        <color rgb="FF000000"/>
        <rFont val="Verdana"/>
        <family val="2"/>
      </rPr>
      <t>370</t>
    </r>
  </si>
  <si>
    <r>
      <rPr>
        <sz val="20"/>
        <color rgb="FF000000"/>
        <rFont val="Verdana"/>
        <family val="2"/>
      </rPr>
      <t>380</t>
    </r>
  </si>
  <si>
    <r>
      <rPr>
        <sz val="20"/>
        <color rgb="FF000000"/>
        <rFont val="Verdana"/>
        <family val="2"/>
      </rPr>
      <t>390</t>
    </r>
  </si>
  <si>
    <r>
      <rPr>
        <sz val="20"/>
        <color rgb="FF000000"/>
        <rFont val="Verdana"/>
        <family val="2"/>
      </rPr>
      <t>400</t>
    </r>
  </si>
  <si>
    <r>
      <rPr>
        <sz val="20"/>
        <color rgb="FF000000"/>
        <rFont val="Verdana"/>
        <family val="2"/>
      </rPr>
      <t>410</t>
    </r>
  </si>
  <si>
    <r>
      <rPr>
        <sz val="20"/>
        <color rgb="FF000000"/>
        <rFont val="Verdana"/>
        <family val="2"/>
      </rPr>
      <t>420</t>
    </r>
  </si>
  <si>
    <r>
      <rPr>
        <sz val="20"/>
        <color rgb="FF000000"/>
        <rFont val="Verdana"/>
        <family val="2"/>
      </rPr>
      <t>430</t>
    </r>
  </si>
  <si>
    <r>
      <rPr>
        <sz val="20"/>
        <color rgb="FF000000"/>
        <rFont val="Verdana"/>
        <family val="2"/>
      </rPr>
      <t>440</t>
    </r>
  </si>
  <si>
    <r>
      <rPr>
        <sz val="20"/>
        <color rgb="FF000000"/>
        <rFont val="Verdana"/>
        <family val="2"/>
      </rPr>
      <t>450</t>
    </r>
  </si>
  <si>
    <r>
      <rPr>
        <sz val="20"/>
        <color rgb="FF000000"/>
        <rFont val="Verdana"/>
        <family val="2"/>
      </rPr>
      <t>460</t>
    </r>
  </si>
  <si>
    <r>
      <rPr>
        <sz val="20"/>
        <color rgb="FF000000"/>
        <rFont val="Verdana"/>
        <family val="2"/>
      </rPr>
      <t>470</t>
    </r>
  </si>
  <si>
    <r>
      <rPr>
        <sz val="20"/>
        <color rgb="FF000000"/>
        <rFont val="Verdana"/>
        <family val="2"/>
      </rPr>
      <t>480</t>
    </r>
  </si>
  <si>
    <r>
      <rPr>
        <sz val="20"/>
        <color rgb="FF000000"/>
        <rFont val="Verdana"/>
        <family val="2"/>
      </rPr>
      <t>490</t>
    </r>
  </si>
  <si>
    <r>
      <rPr>
        <sz val="20"/>
        <color rgb="FF000000"/>
        <rFont val="Verdana"/>
        <family val="2"/>
      </rPr>
      <t>500</t>
    </r>
  </si>
  <si>
    <r>
      <rPr>
        <sz val="20"/>
        <color rgb="FF000000"/>
        <rFont val="Verdana"/>
        <family val="2"/>
      </rPr>
      <t>510</t>
    </r>
  </si>
  <si>
    <r>
      <rPr>
        <sz val="20"/>
        <color rgb="FF000000"/>
        <rFont val="Verdana"/>
        <family val="2"/>
      </rPr>
      <t>520</t>
    </r>
  </si>
  <si>
    <r>
      <rPr>
        <sz val="20"/>
        <color rgb="FF000000"/>
        <rFont val="Verdana"/>
        <family val="2"/>
      </rPr>
      <t>530</t>
    </r>
  </si>
  <si>
    <r>
      <rPr>
        <sz val="20"/>
        <color rgb="FF000000"/>
        <rFont val="Verdana"/>
        <family val="2"/>
      </rPr>
      <t>540</t>
    </r>
  </si>
  <si>
    <r>
      <rPr>
        <sz val="20"/>
        <color rgb="FF000000"/>
        <rFont val="Verdana"/>
        <family val="2"/>
      </rPr>
      <t>550</t>
    </r>
  </si>
  <si>
    <r>
      <rPr>
        <sz val="20"/>
        <color rgb="FF000000"/>
        <rFont val="Verdana"/>
        <family val="2"/>
      </rPr>
      <t>560</t>
    </r>
  </si>
  <si>
    <r>
      <rPr>
        <sz val="20"/>
        <color rgb="FF000000"/>
        <rFont val="Verdana"/>
        <family val="2"/>
      </rPr>
      <t>570</t>
    </r>
  </si>
  <si>
    <r>
      <rPr>
        <sz val="20"/>
        <color rgb="FF000000"/>
        <rFont val="Verdana"/>
        <family val="2"/>
      </rPr>
      <t>580</t>
    </r>
  </si>
  <si>
    <r>
      <rPr>
        <sz val="20"/>
        <color rgb="FF000000"/>
        <rFont val="Verdana"/>
        <family val="2"/>
      </rPr>
      <t>590</t>
    </r>
  </si>
  <si>
    <r>
      <rPr>
        <sz val="20"/>
        <color rgb="FF000000"/>
        <rFont val="Verdana"/>
        <family val="2"/>
      </rPr>
      <t>600</t>
    </r>
  </si>
  <si>
    <r>
      <rPr>
        <sz val="20"/>
        <color rgb="FF000000"/>
        <rFont val="Verdana"/>
        <family val="2"/>
      </rPr>
      <t>610</t>
    </r>
  </si>
  <si>
    <r>
      <rPr>
        <sz val="20"/>
        <color rgb="FF000000"/>
        <rFont val="Verdana"/>
        <family val="2"/>
      </rPr>
      <t>010</t>
    </r>
  </si>
  <si>
    <r>
      <rPr>
        <b/>
        <sz val="26"/>
        <color rgb="FF000000"/>
        <rFont val="Verdana"/>
        <family val="2"/>
      </rPr>
      <t>TOTAL DES EXPOSITIONS</t>
    </r>
  </si>
  <si>
    <r>
      <rPr>
        <sz val="20"/>
        <color rgb="FF000000"/>
        <rFont val="Verdana"/>
        <family val="2"/>
      </rPr>
      <t>Cellule liée à l'état MKR SA TDI {325:060}</t>
    </r>
  </si>
  <si>
    <r>
      <rPr>
        <sz val="20"/>
        <color rgb="FF000000"/>
        <rFont val="Verdana"/>
        <family val="2"/>
      </rPr>
      <t>020</t>
    </r>
  </si>
  <si>
    <r>
      <rPr>
        <sz val="22"/>
        <rFont val="Verdana"/>
        <family val="2"/>
      </rPr>
      <t>Dont: RETITRISATIONS</t>
    </r>
  </si>
  <si>
    <r>
      <rPr>
        <sz val="20"/>
        <color rgb="FF000000"/>
        <rFont val="Verdana"/>
        <family val="2"/>
      </rPr>
      <t>030</t>
    </r>
  </si>
  <si>
    <r>
      <rPr>
        <b/>
        <sz val="22"/>
        <color rgb="FF000000"/>
        <rFont val="Verdana"/>
        <family val="2"/>
      </rPr>
      <t>INITIATEUR: TOTAL DES EXPOSITIONS</t>
    </r>
  </si>
  <si>
    <r>
      <rPr>
        <sz val="20"/>
        <color rgb="FF000000"/>
        <rFont val="Verdana"/>
        <family val="2"/>
      </rPr>
      <t>040</t>
    </r>
  </si>
  <si>
    <r>
      <rPr>
        <sz val="22"/>
        <rFont val="Verdana"/>
        <family val="2"/>
      </rPr>
      <t>TITRISATIONS</t>
    </r>
  </si>
  <si>
    <r>
      <rPr>
        <sz val="20"/>
        <color rgb="FF000000"/>
        <rFont val="Verdana"/>
        <family val="2"/>
      </rPr>
      <t>050</t>
    </r>
  </si>
  <si>
    <r>
      <rPr>
        <sz val="22"/>
        <rFont val="Verdana"/>
        <family val="2"/>
      </rPr>
      <t>RETITRISATIONS</t>
    </r>
  </si>
  <si>
    <r>
      <rPr>
        <sz val="20"/>
        <color rgb="FF000000"/>
        <rFont val="Verdana"/>
        <family val="2"/>
      </rPr>
      <t>060</t>
    </r>
  </si>
  <si>
    <r>
      <rPr>
        <b/>
        <sz val="22"/>
        <color rgb="FF000000"/>
        <rFont val="Verdana"/>
        <family val="2"/>
      </rPr>
      <t>INVESTISSEUR: TOTAL DES EXPOSITIONS</t>
    </r>
  </si>
  <si>
    <r>
      <rPr>
        <sz val="20"/>
        <color rgb="FF000000"/>
        <rFont val="Verdana"/>
        <family val="2"/>
      </rPr>
      <t>070</t>
    </r>
  </si>
  <si>
    <r>
      <rPr>
        <sz val="22"/>
        <rFont val="Verdana"/>
        <family val="2"/>
      </rPr>
      <t>TITRISATIONS</t>
    </r>
  </si>
  <si>
    <r>
      <rPr>
        <sz val="20"/>
        <color rgb="FF000000"/>
        <rFont val="Verdana"/>
        <family val="2"/>
      </rPr>
      <t>080</t>
    </r>
  </si>
  <si>
    <r>
      <rPr>
        <sz val="22"/>
        <rFont val="Verdana"/>
        <family val="2"/>
      </rPr>
      <t>RETITRISATIONS</t>
    </r>
  </si>
  <si>
    <r>
      <rPr>
        <sz val="20"/>
        <color rgb="FF000000"/>
        <rFont val="Verdana"/>
        <family val="2"/>
      </rPr>
      <t>090</t>
    </r>
  </si>
  <si>
    <r>
      <rPr>
        <b/>
        <sz val="22"/>
        <color rgb="FF000000"/>
        <rFont val="Verdana"/>
        <family val="2"/>
      </rPr>
      <t>SPONSOR: TOTAL DES EXPOSITIONS</t>
    </r>
  </si>
  <si>
    <r>
      <rPr>
        <sz val="20"/>
        <color rgb="FF000000"/>
        <rFont val="Verdana"/>
        <family val="2"/>
      </rPr>
      <t>100</t>
    </r>
  </si>
  <si>
    <r>
      <rPr>
        <sz val="22"/>
        <rFont val="Verdana"/>
        <family val="2"/>
      </rPr>
      <t>TITRISATIONS</t>
    </r>
  </si>
  <si>
    <r>
      <rPr>
        <sz val="20"/>
        <color rgb="FF000000"/>
        <rFont val="Verdana"/>
        <family val="2"/>
      </rPr>
      <t>110</t>
    </r>
  </si>
  <si>
    <r>
      <rPr>
        <sz val="22"/>
        <rFont val="Verdana"/>
        <family val="2"/>
      </rPr>
      <t>RETITRISATIONS</t>
    </r>
  </si>
  <si>
    <r>
      <rPr>
        <b/>
        <sz val="22"/>
        <color rgb="FF000000"/>
        <rFont val="Verdana"/>
        <family val="2"/>
      </rPr>
      <t>RÉPARTITION DE LA SOMME TOTALE DES POSITIONS LONGUES NETTES ET COURTES NETTES PONDÉRÉES PAR TYPE D'ACTIFS SOUS-JACENTS:</t>
    </r>
  </si>
  <si>
    <r>
      <rPr>
        <sz val="20"/>
        <color rgb="FF000000"/>
        <rFont val="Verdana"/>
        <family val="2"/>
      </rPr>
      <t>120</t>
    </r>
  </si>
  <si>
    <r>
      <rPr>
        <sz val="22"/>
        <rFont val="Verdana"/>
        <family val="2"/>
      </rPr>
      <t>1. Hypothèques sur un bien immobilier résidentiel</t>
    </r>
  </si>
  <si>
    <r>
      <rPr>
        <sz val="20"/>
        <color rgb="FF000000"/>
        <rFont val="Verdana"/>
        <family val="2"/>
      </rPr>
      <t>130</t>
    </r>
  </si>
  <si>
    <r>
      <rPr>
        <sz val="22"/>
        <rFont val="Verdana"/>
        <family val="2"/>
      </rPr>
      <t>2. Hypothèques sur un bien immobilier commercial</t>
    </r>
  </si>
  <si>
    <r>
      <rPr>
        <sz val="20"/>
        <color rgb="FF000000"/>
        <rFont val="Verdana"/>
        <family val="2"/>
      </rPr>
      <t>140</t>
    </r>
  </si>
  <si>
    <r>
      <rPr>
        <sz val="22"/>
        <rFont val="Verdana"/>
        <family val="2"/>
      </rPr>
      <t>3. Créances sur cartes de crédit</t>
    </r>
  </si>
  <si>
    <r>
      <rPr>
        <sz val="20"/>
        <color rgb="FF000000"/>
        <rFont val="Verdana"/>
        <family val="2"/>
      </rPr>
      <t>150</t>
    </r>
  </si>
  <si>
    <r>
      <rPr>
        <sz val="22"/>
        <rFont val="Verdana"/>
        <family val="2"/>
      </rPr>
      <t>4. Locations ou crédits-bails</t>
    </r>
  </si>
  <si>
    <r>
      <rPr>
        <sz val="20"/>
        <color rgb="FF000000"/>
        <rFont val="Verdana"/>
        <family val="2"/>
      </rPr>
      <t>160</t>
    </r>
  </si>
  <si>
    <r>
      <rPr>
        <sz val="22"/>
        <rFont val="Verdana"/>
        <family val="2"/>
      </rPr>
      <t>5. Prêts à des entreprises ou à des PME</t>
    </r>
  </si>
  <si>
    <r>
      <rPr>
        <sz val="20"/>
        <color rgb="FF000000"/>
        <rFont val="Verdana"/>
        <family val="2"/>
      </rPr>
      <t>170</t>
    </r>
  </si>
  <si>
    <r>
      <rPr>
        <sz val="22"/>
        <rFont val="Verdana"/>
        <family val="2"/>
      </rPr>
      <t>6. Prêts à la consommation</t>
    </r>
  </si>
  <si>
    <r>
      <rPr>
        <sz val="20"/>
        <color rgb="FF000000"/>
        <rFont val="Verdana"/>
        <family val="2"/>
      </rPr>
      <t>180</t>
    </r>
  </si>
  <si>
    <r>
      <rPr>
        <sz val="22"/>
        <rFont val="Verdana"/>
        <family val="2"/>
      </rPr>
      <t>7. Créances commerciales</t>
    </r>
  </si>
  <si>
    <r>
      <rPr>
        <sz val="20"/>
        <color rgb="FF000000"/>
        <rFont val="Verdana"/>
        <family val="2"/>
      </rPr>
      <t>190</t>
    </r>
  </si>
  <si>
    <r>
      <rPr>
        <sz val="22"/>
        <rFont val="Verdana"/>
        <family val="2"/>
      </rPr>
      <t>8. Autres actifs</t>
    </r>
  </si>
  <si>
    <r>
      <rPr>
        <sz val="20"/>
        <color rgb="FF000000"/>
        <rFont val="Verdana"/>
        <family val="2"/>
      </rPr>
      <t>200</t>
    </r>
  </si>
  <si>
    <r>
      <rPr>
        <sz val="22"/>
        <rFont val="Verdana"/>
        <family val="2"/>
      </rPr>
      <t>9. Obligations garanties</t>
    </r>
  </si>
  <si>
    <r>
      <rPr>
        <sz val="20"/>
        <color rgb="FF000000"/>
        <rFont val="Verdana"/>
        <family val="2"/>
      </rPr>
      <t>210</t>
    </r>
  </si>
  <si>
    <r>
      <rPr>
        <sz val="22"/>
        <rFont val="Verdana"/>
        <family val="2"/>
      </rPr>
      <t>10. Autres passifs</t>
    </r>
  </si>
  <si>
    <r>
      <rPr>
        <b/>
        <sz val="26"/>
        <color rgb="FF000000"/>
        <rFont val="Verdana"/>
        <family val="2"/>
      </rPr>
      <t xml:space="preserve"> C 20.00 - RISQUE DE MARCHÉ: APPROCHE STANDARD DU RISQUE SPÉCIFIQUE POUR LES POSITIONS DU PORTEFEUILLE DE NÉGOCIATION EN CORRÉLATION (MKR SA CTP)</t>
    </r>
  </si>
  <si>
    <r>
      <rPr>
        <b/>
        <sz val="26"/>
        <color rgb="FF000000"/>
        <rFont val="Verdana"/>
        <family val="2"/>
      </rPr>
      <t xml:space="preserve"> C 20.00 - RISQUE DE MARCHÉ: APPROCHE STANDARD DU RISQUE SPÉCIFIQUE POUR LES POSITIONS DU PORTEFEUILLE DE NÉGOCIATION EN CORRÉLATION (MKR SA CTP)</t>
    </r>
  </si>
  <si>
    <r>
      <rPr>
        <b/>
        <sz val="18"/>
        <rFont val="Verdana"/>
        <family val="2"/>
      </rPr>
      <t>TOUTES LES POSITIONS</t>
    </r>
  </si>
  <si>
    <r>
      <rPr>
        <b/>
        <sz val="18"/>
        <rFont val="Verdana"/>
        <family val="2"/>
      </rPr>
      <t>(-) POSITIONS DÉDUITES DES FONDS PROPRES</t>
    </r>
  </si>
  <si>
    <r>
      <rPr>
        <b/>
        <sz val="18"/>
        <rFont val="Verdana"/>
        <family val="2"/>
      </rPr>
      <t>POSITIONS NETTES</t>
    </r>
  </si>
  <si>
    <r>
      <rPr>
        <b/>
        <sz val="18"/>
        <rFont val="Verdana"/>
        <family val="2"/>
      </rPr>
      <t>RÉPARTITION DES POSITIONS (LONGUES) NETTES SELON LES PONDÉRATIONS DES APPROCHES SA ET NI</t>
    </r>
  </si>
  <si>
    <r>
      <rPr>
        <b/>
        <sz val="18"/>
        <rFont val="Verdana"/>
        <family val="2"/>
      </rPr>
      <t>RÉPARTITION DES POSITIONS (COURTES) NETTES SELON LES PONDÉRATIONS DES APPROCHES SA ET NI</t>
    </r>
  </si>
  <si>
    <r>
      <rPr>
        <b/>
        <sz val="18"/>
        <rFont val="Verdana"/>
        <family val="2"/>
      </rPr>
      <t>AVANT APPLICATION DU PLAFOND</t>
    </r>
  </si>
  <si>
    <r>
      <rPr>
        <b/>
        <sz val="18"/>
        <rFont val="Verdana"/>
        <family val="2"/>
      </rPr>
      <t>APRÈS APPLICATION DU PLAFOND</t>
    </r>
  </si>
  <si>
    <r>
      <rPr>
        <b/>
        <sz val="18"/>
        <rFont val="Verdana"/>
        <family val="2"/>
      </rPr>
      <t>TOTAL DES EXIGENCES DE FONDS PROPRES</t>
    </r>
  </si>
  <si>
    <r>
      <rPr>
        <b/>
        <sz val="18"/>
        <rFont val="Verdana"/>
        <family val="2"/>
      </rPr>
      <t>PONDÉRATIONS DE RISQUE &lt; 1 250 %</t>
    </r>
  </si>
  <si>
    <r>
      <rPr>
        <b/>
        <sz val="18"/>
        <rFont val="Verdana"/>
        <family val="2"/>
      </rPr>
      <t>MÉTHODE DE LA FORMULE PRUDENTIELLE</t>
    </r>
  </si>
  <si>
    <r>
      <rPr>
        <b/>
        <sz val="18"/>
        <rFont val="Verdana"/>
        <family val="2"/>
      </rPr>
      <t>APPROCHE PAR TRANSPARENCE</t>
    </r>
  </si>
  <si>
    <r>
      <rPr>
        <b/>
        <sz val="18"/>
        <rFont val="Verdana"/>
        <family val="2"/>
      </rPr>
      <t xml:space="preserve"> APPROCHE PAR ÉVALUATION INTERNE</t>
    </r>
  </si>
  <si>
    <r>
      <rPr>
        <b/>
        <sz val="18"/>
        <rFont val="Verdana"/>
        <family val="2"/>
      </rPr>
      <t>PONDÉRATIONS DE RISQUE &lt; 1 250 %</t>
    </r>
  </si>
  <si>
    <r>
      <rPr>
        <b/>
        <sz val="18"/>
        <rFont val="Verdana"/>
        <family val="2"/>
      </rPr>
      <t>MÉTHODE DE LA FORMULE PRUDENTIELLE</t>
    </r>
  </si>
  <si>
    <r>
      <rPr>
        <b/>
        <sz val="18"/>
        <rFont val="Verdana"/>
        <family val="2"/>
      </rPr>
      <t>APPROCHE PAR TRANSPARENCE</t>
    </r>
  </si>
  <si>
    <r>
      <rPr>
        <b/>
        <sz val="18"/>
        <rFont val="Verdana"/>
        <family val="2"/>
      </rPr>
      <t xml:space="preserve"> APPROCHE PAR ÉVALUATION INTERNE</t>
    </r>
  </si>
  <si>
    <r>
      <rPr>
        <b/>
        <sz val="18"/>
        <rFont val="Verdana"/>
        <family val="2"/>
      </rPr>
      <t>LONGUES</t>
    </r>
  </si>
  <si>
    <r>
      <rPr>
        <b/>
        <sz val="18"/>
        <rFont val="Verdana"/>
        <family val="2"/>
      </rPr>
      <t>COURTES</t>
    </r>
  </si>
  <si>
    <r>
      <rPr>
        <b/>
        <sz val="18"/>
        <rFont val="Verdana"/>
        <family val="2"/>
      </rPr>
      <t>(-) LONGUES</t>
    </r>
  </si>
  <si>
    <r>
      <rPr>
        <b/>
        <sz val="18"/>
        <rFont val="Verdana"/>
        <family val="2"/>
      </rPr>
      <t>(-) COURTES</t>
    </r>
  </si>
  <si>
    <r>
      <rPr>
        <b/>
        <sz val="18"/>
        <rFont val="Verdana"/>
        <family val="2"/>
      </rPr>
      <t>LONGUES</t>
    </r>
  </si>
  <si>
    <r>
      <rPr>
        <b/>
        <sz val="18"/>
        <rFont val="Verdana"/>
        <family val="2"/>
      </rPr>
      <t>COURTES</t>
    </r>
  </si>
  <si>
    <r>
      <rPr>
        <b/>
        <sz val="18"/>
        <rFont val="Verdana"/>
        <family val="2"/>
      </rPr>
      <t>7 - 10 %</t>
    </r>
  </si>
  <si>
    <r>
      <rPr>
        <b/>
        <sz val="18"/>
        <rFont val="Verdana"/>
        <family val="2"/>
      </rPr>
      <t>12 - 18 %</t>
    </r>
  </si>
  <si>
    <r>
      <rPr>
        <b/>
        <sz val="18"/>
        <rFont val="Verdana"/>
        <family val="2"/>
      </rPr>
      <t>20 - 35 %</t>
    </r>
  </si>
  <si>
    <r>
      <rPr>
        <b/>
        <sz val="18"/>
        <rFont val="Verdana"/>
        <family val="2"/>
      </rPr>
      <t>40 - 75 %</t>
    </r>
  </si>
  <si>
    <r>
      <rPr>
        <b/>
        <sz val="18"/>
        <rFont val="Verdana"/>
        <family val="2"/>
      </rPr>
      <t>Autres</t>
    </r>
  </si>
  <si>
    <r>
      <rPr>
        <b/>
        <sz val="18"/>
        <rFont val="Verdana"/>
        <family val="2"/>
      </rPr>
      <t>POSITIONS NOTÉES</t>
    </r>
  </si>
  <si>
    <r>
      <rPr>
        <b/>
        <sz val="18"/>
        <rFont val="Verdana"/>
        <family val="2"/>
      </rPr>
      <t>POSITIONS NON NOTÉES</t>
    </r>
  </si>
  <si>
    <r>
      <rPr>
        <b/>
        <sz val="18"/>
        <rFont val="Verdana"/>
        <family val="2"/>
      </rPr>
      <t>PONDÉRATION MOYENNE (%)</t>
    </r>
  </si>
  <si>
    <r>
      <rPr>
        <b/>
        <sz val="18"/>
        <rFont val="Verdana"/>
        <family val="2"/>
      </rPr>
      <t>PONDÉRATION MOYENNE (%)</t>
    </r>
  </si>
  <si>
    <r>
      <rPr>
        <b/>
        <sz val="18"/>
        <rFont val="Verdana"/>
        <family val="2"/>
      </rPr>
      <t>7 - 10 %</t>
    </r>
  </si>
  <si>
    <r>
      <rPr>
        <b/>
        <sz val="18"/>
        <rFont val="Verdana"/>
        <family val="2"/>
      </rPr>
      <t>12 - 18 %</t>
    </r>
  </si>
  <si>
    <r>
      <rPr>
        <b/>
        <sz val="18"/>
        <rFont val="Verdana"/>
        <family val="2"/>
      </rPr>
      <t>20 - 35 %</t>
    </r>
  </si>
  <si>
    <r>
      <rPr>
        <b/>
        <sz val="18"/>
        <rFont val="Verdana"/>
        <family val="2"/>
      </rPr>
      <t>40 - 75 %</t>
    </r>
  </si>
  <si>
    <r>
      <rPr>
        <b/>
        <sz val="18"/>
        <rFont val="Verdana"/>
        <family val="2"/>
      </rPr>
      <t>Autres</t>
    </r>
  </si>
  <si>
    <r>
      <rPr>
        <b/>
        <sz val="18"/>
        <rFont val="Verdana"/>
        <family val="2"/>
      </rPr>
      <t>POSITIONS NOTÉES</t>
    </r>
  </si>
  <si>
    <r>
      <rPr>
        <b/>
        <sz val="18"/>
        <rFont val="Verdana"/>
        <family val="2"/>
      </rPr>
      <t>POSITIONS NON NOTÉES</t>
    </r>
  </si>
  <si>
    <r>
      <rPr>
        <b/>
        <sz val="18"/>
        <rFont val="Verdana"/>
        <family val="2"/>
      </rPr>
      <t>PONDÉRATION MOYENNE (%)</t>
    </r>
  </si>
  <si>
    <r>
      <rPr>
        <b/>
        <sz val="18"/>
        <rFont val="Verdana"/>
        <family val="2"/>
      </rPr>
      <t>PONDÉRATION MOYENNE (%)</t>
    </r>
  </si>
  <si>
    <r>
      <rPr>
        <b/>
        <sz val="18"/>
        <rFont val="Verdana"/>
        <family val="2"/>
      </rPr>
      <t>POSITIONS LONGUES NETTES PONDÉRÉES</t>
    </r>
  </si>
  <si>
    <r>
      <rPr>
        <b/>
        <sz val="18"/>
        <rFont val="Verdana"/>
        <family val="2"/>
      </rPr>
      <t xml:space="preserve">POSITIONS COURTES NETTES PONDÉRÉES </t>
    </r>
  </si>
  <si>
    <r>
      <rPr>
        <b/>
        <sz val="18"/>
        <rFont val="Verdana"/>
        <family val="2"/>
      </rPr>
      <t>POSITIONS LONGUES NETTES PONDÉRÉES</t>
    </r>
  </si>
  <si>
    <r>
      <rPr>
        <b/>
        <sz val="18"/>
        <rFont val="Verdana"/>
        <family val="2"/>
      </rPr>
      <t xml:space="preserve">POSITIONS COURTES NETTES PONDÉRÉES </t>
    </r>
  </si>
  <si>
    <r>
      <rPr>
        <sz val="20"/>
        <color rgb="FF000000"/>
        <rFont val="Verdana"/>
        <family val="2"/>
      </rPr>
      <t>010</t>
    </r>
  </si>
  <si>
    <r>
      <rPr>
        <sz val="20"/>
        <color rgb="FF000000"/>
        <rFont val="Verdana"/>
        <family val="2"/>
      </rPr>
      <t>020</t>
    </r>
  </si>
  <si>
    <r>
      <rPr>
        <sz val="20"/>
        <color rgb="FF000000"/>
        <rFont val="Verdana"/>
        <family val="2"/>
      </rPr>
      <t>030</t>
    </r>
  </si>
  <si>
    <r>
      <rPr>
        <sz val="20"/>
        <color rgb="FF000000"/>
        <rFont val="Verdana"/>
        <family val="2"/>
      </rPr>
      <t>040</t>
    </r>
  </si>
  <si>
    <r>
      <rPr>
        <sz val="20"/>
        <color rgb="FF000000"/>
        <rFont val="Verdana"/>
        <family val="2"/>
      </rPr>
      <t>050</t>
    </r>
  </si>
  <si>
    <r>
      <rPr>
        <sz val="20"/>
        <color rgb="FF000000"/>
        <rFont val="Verdana"/>
        <family val="2"/>
      </rPr>
      <t>060</t>
    </r>
  </si>
  <si>
    <r>
      <rPr>
        <sz val="20"/>
        <color rgb="FF000000"/>
        <rFont val="Verdana"/>
        <family val="2"/>
      </rPr>
      <t>070</t>
    </r>
  </si>
  <si>
    <r>
      <rPr>
        <sz val="20"/>
        <color rgb="FF000000"/>
        <rFont val="Verdana"/>
        <family val="2"/>
      </rPr>
      <t>080</t>
    </r>
  </si>
  <si>
    <r>
      <rPr>
        <sz val="20"/>
        <color rgb="FF000000"/>
        <rFont val="Verdana"/>
        <family val="2"/>
      </rPr>
      <t>090</t>
    </r>
  </si>
  <si>
    <r>
      <rPr>
        <sz val="20"/>
        <color rgb="FF000000"/>
        <rFont val="Verdana"/>
        <family val="2"/>
      </rPr>
      <t>100</t>
    </r>
  </si>
  <si>
    <r>
      <rPr>
        <sz val="20"/>
        <color rgb="FF000000"/>
        <rFont val="Verdana"/>
        <family val="2"/>
      </rPr>
      <t>110</t>
    </r>
  </si>
  <si>
    <r>
      <rPr>
        <sz val="20"/>
        <color rgb="FF000000"/>
        <rFont val="Verdana"/>
        <family val="2"/>
      </rPr>
      <t>120</t>
    </r>
  </si>
  <si>
    <r>
      <rPr>
        <sz val="20"/>
        <color rgb="FF000000"/>
        <rFont val="Verdana"/>
        <family val="2"/>
      </rPr>
      <t>130</t>
    </r>
  </si>
  <si>
    <r>
      <rPr>
        <sz val="20"/>
        <color rgb="FF000000"/>
        <rFont val="Verdana"/>
        <family val="2"/>
      </rPr>
      <t>140</t>
    </r>
  </si>
  <si>
    <r>
      <rPr>
        <sz val="20"/>
        <color rgb="FF000000"/>
        <rFont val="Verdana"/>
        <family val="2"/>
      </rPr>
      <t>150</t>
    </r>
  </si>
  <si>
    <r>
      <rPr>
        <sz val="20"/>
        <color rgb="FF000000"/>
        <rFont val="Verdana"/>
        <family val="2"/>
      </rPr>
      <t>160</t>
    </r>
  </si>
  <si>
    <r>
      <rPr>
        <sz val="20"/>
        <color rgb="FF000000"/>
        <rFont val="Verdana"/>
        <family val="2"/>
      </rPr>
      <t>170</t>
    </r>
  </si>
  <si>
    <r>
      <rPr>
        <sz val="20"/>
        <color rgb="FF000000"/>
        <rFont val="Verdana"/>
        <family val="2"/>
      </rPr>
      <t>180</t>
    </r>
  </si>
  <si>
    <r>
      <rPr>
        <sz val="20"/>
        <color rgb="FF000000"/>
        <rFont val="Verdana"/>
        <family val="2"/>
      </rPr>
      <t>190</t>
    </r>
  </si>
  <si>
    <r>
      <rPr>
        <sz val="20"/>
        <color rgb="FF000000"/>
        <rFont val="Verdana"/>
        <family val="2"/>
      </rPr>
      <t>200</t>
    </r>
  </si>
  <si>
    <r>
      <rPr>
        <sz val="20"/>
        <color rgb="FF000000"/>
        <rFont val="Verdana"/>
        <family val="2"/>
      </rPr>
      <t>210</t>
    </r>
  </si>
  <si>
    <r>
      <rPr>
        <sz val="20"/>
        <color rgb="FF000000"/>
        <rFont val="Verdana"/>
        <family val="2"/>
      </rPr>
      <t>220</t>
    </r>
  </si>
  <si>
    <r>
      <rPr>
        <sz val="20"/>
        <color rgb="FF000000"/>
        <rFont val="Verdana"/>
        <family val="2"/>
      </rPr>
      <t>230</t>
    </r>
  </si>
  <si>
    <r>
      <rPr>
        <sz val="20"/>
        <color rgb="FF000000"/>
        <rFont val="Verdana"/>
        <family val="2"/>
      </rPr>
      <t>240</t>
    </r>
  </si>
  <si>
    <r>
      <rPr>
        <sz val="20"/>
        <color rgb="FF000000"/>
        <rFont val="Verdana"/>
        <family val="2"/>
      </rPr>
      <t>250</t>
    </r>
  </si>
  <si>
    <r>
      <rPr>
        <sz val="20"/>
        <color rgb="FF000000"/>
        <rFont val="Verdana"/>
        <family val="2"/>
      </rPr>
      <t>260</t>
    </r>
  </si>
  <si>
    <r>
      <rPr>
        <sz val="20"/>
        <color rgb="FF000000"/>
        <rFont val="Verdana"/>
        <family val="2"/>
      </rPr>
      <t>270</t>
    </r>
  </si>
  <si>
    <r>
      <rPr>
        <sz val="20"/>
        <color rgb="FF000000"/>
        <rFont val="Verdana"/>
        <family val="2"/>
      </rPr>
      <t>280</t>
    </r>
  </si>
  <si>
    <r>
      <rPr>
        <sz val="20"/>
        <color rgb="FF000000"/>
        <rFont val="Verdana"/>
        <family val="2"/>
      </rPr>
      <t>290</t>
    </r>
  </si>
  <si>
    <r>
      <rPr>
        <sz val="20"/>
        <color rgb="FF000000"/>
        <rFont val="Verdana"/>
        <family val="2"/>
      </rPr>
      <t>300</t>
    </r>
  </si>
  <si>
    <r>
      <rPr>
        <sz val="20"/>
        <color rgb="FF000000"/>
        <rFont val="Verdana"/>
        <family val="2"/>
      </rPr>
      <t>310</t>
    </r>
  </si>
  <si>
    <r>
      <rPr>
        <sz val="20"/>
        <color rgb="FF000000"/>
        <rFont val="Verdana"/>
        <family val="2"/>
      </rPr>
      <t>320</t>
    </r>
  </si>
  <si>
    <r>
      <rPr>
        <sz val="20"/>
        <color rgb="FF000000"/>
        <rFont val="Verdana"/>
        <family val="2"/>
      </rPr>
      <t>330</t>
    </r>
  </si>
  <si>
    <r>
      <rPr>
        <sz val="20"/>
        <color rgb="FF000000"/>
        <rFont val="Verdana"/>
        <family val="2"/>
      </rPr>
      <t>340</t>
    </r>
  </si>
  <si>
    <r>
      <rPr>
        <sz val="20"/>
        <color rgb="FF000000"/>
        <rFont val="Verdana"/>
        <family val="2"/>
      </rPr>
      <t>350</t>
    </r>
  </si>
  <si>
    <r>
      <rPr>
        <sz val="20"/>
        <color rgb="FF000000"/>
        <rFont val="Verdana"/>
        <family val="2"/>
      </rPr>
      <t>360</t>
    </r>
  </si>
  <si>
    <r>
      <rPr>
        <sz val="20"/>
        <color rgb="FF000000"/>
        <rFont val="Verdana"/>
        <family val="2"/>
      </rPr>
      <t>370</t>
    </r>
  </si>
  <si>
    <r>
      <rPr>
        <sz val="20"/>
        <color rgb="FF000000"/>
        <rFont val="Verdana"/>
        <family val="2"/>
      </rPr>
      <t>380</t>
    </r>
  </si>
  <si>
    <r>
      <rPr>
        <sz val="20"/>
        <color rgb="FF000000"/>
        <rFont val="Verdana"/>
        <family val="2"/>
      </rPr>
      <t>390</t>
    </r>
  </si>
  <si>
    <r>
      <rPr>
        <sz val="20"/>
        <color rgb="FF000000"/>
        <rFont val="Verdana"/>
        <family val="2"/>
      </rPr>
      <t>400</t>
    </r>
  </si>
  <si>
    <r>
      <rPr>
        <sz val="20"/>
        <color rgb="FF000000"/>
        <rFont val="Verdana"/>
        <family val="2"/>
      </rPr>
      <t>410</t>
    </r>
  </si>
  <si>
    <r>
      <rPr>
        <sz val="20"/>
        <color rgb="FF000000"/>
        <rFont val="Verdana"/>
        <family val="2"/>
      </rPr>
      <t>420</t>
    </r>
  </si>
  <si>
    <r>
      <rPr>
        <sz val="20"/>
        <color rgb="FF000000"/>
        <rFont val="Verdana"/>
        <family val="2"/>
      </rPr>
      <t>430</t>
    </r>
  </si>
  <si>
    <r>
      <rPr>
        <sz val="20"/>
        <color rgb="FF000000"/>
        <rFont val="Verdana"/>
        <family val="2"/>
      </rPr>
      <t>440</t>
    </r>
  </si>
  <si>
    <r>
      <rPr>
        <sz val="20"/>
        <color rgb="FF000000"/>
        <rFont val="Verdana"/>
        <family val="2"/>
      </rPr>
      <t>450</t>
    </r>
  </si>
  <si>
    <r>
      <rPr>
        <sz val="20"/>
        <color rgb="FF000000"/>
        <rFont val="Verdana"/>
        <family val="2"/>
      </rPr>
      <t>010</t>
    </r>
  </si>
  <si>
    <r>
      <rPr>
        <b/>
        <sz val="26"/>
        <color rgb="FF000000"/>
        <rFont val="Verdana"/>
        <family val="2"/>
      </rPr>
      <t>TOTAL DES EXPOSITIONS</t>
    </r>
  </si>
  <si>
    <r>
      <rPr>
        <sz val="20"/>
        <color rgb="FF000000"/>
        <rFont val="Verdana"/>
        <family val="2"/>
      </rPr>
      <t>Cellule liée à l'état MKR SA TDI {330:060}</t>
    </r>
  </si>
  <si>
    <r>
      <rPr>
        <b/>
        <sz val="26"/>
        <color rgb="FF000000"/>
        <rFont val="Verdana"/>
        <family val="2"/>
      </rPr>
      <t>POSITIONS DE TITRISATION:</t>
    </r>
  </si>
  <si>
    <r>
      <rPr>
        <sz val="20"/>
        <color rgb="FF000000"/>
        <rFont val="Verdana"/>
        <family val="2"/>
      </rPr>
      <t>020</t>
    </r>
  </si>
  <si>
    <r>
      <rPr>
        <b/>
        <sz val="22"/>
        <color rgb="FF000000"/>
        <rFont val="Verdana"/>
        <family val="2"/>
      </rPr>
      <t>INITIATEUR: TOTAL DES EXPOSITIONS</t>
    </r>
  </si>
  <si>
    <r>
      <rPr>
        <sz val="20"/>
        <color rgb="FF000000"/>
        <rFont val="Verdana"/>
        <family val="2"/>
      </rPr>
      <t>030</t>
    </r>
  </si>
  <si>
    <r>
      <rPr>
        <sz val="22"/>
        <rFont val="Verdana"/>
        <family val="2"/>
      </rPr>
      <t>TITRISATIONS</t>
    </r>
  </si>
  <si>
    <r>
      <rPr>
        <sz val="20"/>
        <color rgb="FF000000"/>
        <rFont val="Verdana"/>
        <family val="2"/>
      </rPr>
      <t>040</t>
    </r>
  </si>
  <si>
    <r>
      <rPr>
        <sz val="22"/>
        <rFont val="Verdana"/>
        <family val="2"/>
      </rPr>
      <t>AUTRES POSITIONS DU PORTEFEUILLE DE NÉGOCIATION EN CORRÉLATION</t>
    </r>
  </si>
  <si>
    <r>
      <rPr>
        <sz val="20"/>
        <color rgb="FF000000"/>
        <rFont val="Verdana"/>
        <family val="2"/>
      </rPr>
      <t>050</t>
    </r>
  </si>
  <si>
    <r>
      <rPr>
        <b/>
        <sz val="22"/>
        <color rgb="FF000000"/>
        <rFont val="Verdana"/>
        <family val="2"/>
      </rPr>
      <t>INVESTISSEUR: TOTAL DES EXPOSITIONS</t>
    </r>
  </si>
  <si>
    <r>
      <rPr>
        <sz val="20"/>
        <color rgb="FF000000"/>
        <rFont val="Verdana"/>
        <family val="2"/>
      </rPr>
      <t>060</t>
    </r>
  </si>
  <si>
    <r>
      <rPr>
        <sz val="22"/>
        <rFont val="Verdana"/>
        <family val="2"/>
      </rPr>
      <t>TITRISATIONS</t>
    </r>
  </si>
  <si>
    <r>
      <rPr>
        <sz val="20"/>
        <color rgb="FF000000"/>
        <rFont val="Verdana"/>
        <family val="2"/>
      </rPr>
      <t>070</t>
    </r>
  </si>
  <si>
    <r>
      <rPr>
        <sz val="22"/>
        <rFont val="Verdana"/>
        <family val="2"/>
      </rPr>
      <t>AUTRES POSITIONS DU PORTEFEUILLE DE NÉGOCIATION EN CORRÉLATION</t>
    </r>
  </si>
  <si>
    <r>
      <rPr>
        <sz val="20"/>
        <color rgb="FF000000"/>
        <rFont val="Verdana"/>
        <family val="2"/>
      </rPr>
      <t>080</t>
    </r>
  </si>
  <si>
    <r>
      <rPr>
        <b/>
        <sz val="22"/>
        <color rgb="FF000000"/>
        <rFont val="Verdana"/>
        <family val="2"/>
      </rPr>
      <t>SPONSOR: TOTAL DES EXPOSITIONS</t>
    </r>
  </si>
  <si>
    <r>
      <rPr>
        <sz val="20"/>
        <color rgb="FF000000"/>
        <rFont val="Verdana"/>
        <family val="2"/>
      </rPr>
      <t>090</t>
    </r>
  </si>
  <si>
    <r>
      <rPr>
        <sz val="22"/>
        <rFont val="Verdana"/>
        <family val="2"/>
      </rPr>
      <t>TITRISATIONS</t>
    </r>
  </si>
  <si>
    <r>
      <rPr>
        <sz val="20"/>
        <color rgb="FF000000"/>
        <rFont val="Verdana"/>
        <family val="2"/>
      </rPr>
      <t>100</t>
    </r>
  </si>
  <si>
    <r>
      <rPr>
        <sz val="22"/>
        <rFont val="Verdana"/>
        <family val="2"/>
      </rPr>
      <t>AUTRES POSITIONS DU PORTEFEUILLE DE NÉGOCIATION EN CORRÉLATION</t>
    </r>
  </si>
  <si>
    <r>
      <rPr>
        <b/>
        <sz val="26"/>
        <color rgb="FF000000"/>
        <rFont val="Verdana"/>
        <family val="2"/>
      </rPr>
      <t>DÉRIVÉS DE CRÉDIT AU NIÈME DÉFAUT</t>
    </r>
  </si>
  <si>
    <r>
      <rPr>
        <sz val="20"/>
        <color rgb="FF000000"/>
        <rFont val="Verdana"/>
        <family val="2"/>
      </rPr>
      <t>110</t>
    </r>
  </si>
  <si>
    <r>
      <rPr>
        <sz val="22"/>
        <rFont val="Verdana"/>
        <family val="2"/>
      </rPr>
      <t>DÉRIVÉS DE CRÉDIT AU NIÈME DÉFAUT</t>
    </r>
  </si>
  <si>
    <r>
      <rPr>
        <sz val="20"/>
        <color rgb="FF000000"/>
        <rFont val="Verdana"/>
        <family val="2"/>
      </rPr>
      <t>120</t>
    </r>
  </si>
  <si>
    <r>
      <rPr>
        <sz val="22"/>
        <rFont val="Verdana"/>
        <family val="2"/>
      </rPr>
      <t>AUTRES POSITIONS DU PORTEFEUILLE DE NÉGOCIATION EN CORRÉLATION</t>
    </r>
  </si>
  <si>
    <r>
      <rPr>
        <b/>
        <sz val="16"/>
        <rFont val="Verdana"/>
        <family val="2"/>
      </rPr>
      <t xml:space="preserve"> C 21.00 - RISQUE DE MARCHÉ: APPROCHE STANDARD DU RISQUE RELATIF AUX POSITIONS SOUS FORME D'ACTIONS (MKR SA EQU)</t>
    </r>
  </si>
  <si>
    <r>
      <rPr>
        <b/>
        <sz val="14"/>
        <rFont val="Verdana"/>
        <family val="2"/>
      </rPr>
      <t>Marché national:</t>
    </r>
  </si>
  <si>
    <r>
      <rPr>
        <b/>
        <sz val="12"/>
        <rFont val="Verdana"/>
        <family val="2"/>
      </rPr>
      <t>POSITIONS</t>
    </r>
  </si>
  <si>
    <r>
      <rPr>
        <b/>
        <sz val="12"/>
        <rFont val="Verdana"/>
        <family val="2"/>
      </rPr>
      <t>EXIGENCES DE FONDS PROPRES</t>
    </r>
  </si>
  <si>
    <r>
      <rPr>
        <b/>
        <sz val="12"/>
        <rFont val="Verdana"/>
        <family val="2"/>
      </rPr>
      <t>MONTANT TOTAL D'EXPOSITION AU RISQUE</t>
    </r>
  </si>
  <si>
    <r>
      <rPr>
        <b/>
        <sz val="12"/>
        <rFont val="Verdana"/>
        <family val="2"/>
      </rPr>
      <t>TOUTES LES POSITIONS</t>
    </r>
  </si>
  <si>
    <r>
      <rPr>
        <b/>
        <sz val="12"/>
        <rFont val="Verdana"/>
        <family val="2"/>
      </rPr>
      <t>POSITIONS NETTES</t>
    </r>
  </si>
  <si>
    <r>
      <rPr>
        <b/>
        <sz val="12"/>
        <rFont val="Verdana"/>
        <family val="2"/>
      </rPr>
      <t>POSITIONS SOUMISES AUX EXIGENCES DE FONDS PROPRES</t>
    </r>
  </si>
  <si>
    <r>
      <rPr>
        <b/>
        <sz val="12"/>
        <rFont val="Verdana"/>
        <family val="2"/>
      </rPr>
      <t>LONGUES</t>
    </r>
  </si>
  <si>
    <r>
      <rPr>
        <b/>
        <sz val="12"/>
        <rFont val="Verdana"/>
        <family val="2"/>
      </rPr>
      <t>COURTES</t>
    </r>
  </si>
  <si>
    <r>
      <rPr>
        <b/>
        <sz val="12"/>
        <rFont val="Verdana"/>
        <family val="2"/>
      </rPr>
      <t>LONGUES</t>
    </r>
  </si>
  <si>
    <r>
      <rPr>
        <b/>
        <sz val="12"/>
        <rFont val="Verdana"/>
        <family val="2"/>
      </rPr>
      <t>COURTES</t>
    </r>
  </si>
  <si>
    <r>
      <rPr>
        <sz val="12"/>
        <rFont val="Verdana"/>
        <family val="2"/>
      </rPr>
      <t>010</t>
    </r>
  </si>
  <si>
    <r>
      <rPr>
        <sz val="12"/>
        <rFont val="Verdana"/>
        <family val="2"/>
      </rPr>
      <t>020</t>
    </r>
  </si>
  <si>
    <r>
      <rPr>
        <sz val="12"/>
        <rFont val="Verdana"/>
        <family val="2"/>
      </rPr>
      <t>030</t>
    </r>
  </si>
  <si>
    <r>
      <rPr>
        <sz val="12"/>
        <rFont val="Verdana"/>
        <family val="2"/>
      </rPr>
      <t>040</t>
    </r>
  </si>
  <si>
    <r>
      <rPr>
        <sz val="12"/>
        <rFont val="Verdana"/>
        <family val="2"/>
      </rPr>
      <t>050</t>
    </r>
  </si>
  <si>
    <r>
      <rPr>
        <sz val="12"/>
        <rFont val="Verdana"/>
        <family val="2"/>
      </rPr>
      <t>060</t>
    </r>
  </si>
  <si>
    <r>
      <rPr>
        <sz val="12"/>
        <rFont val="Verdana"/>
        <family val="2"/>
      </rPr>
      <t>070</t>
    </r>
  </si>
  <si>
    <r>
      <rPr>
        <sz val="12"/>
        <rFont val="Verdana"/>
        <family val="2"/>
      </rPr>
      <t>010</t>
    </r>
  </si>
  <si>
    <r>
      <rPr>
        <b/>
        <sz val="12"/>
        <rFont val="Verdana"/>
        <family val="2"/>
      </rPr>
      <t>ACTIONS DU PORTEFEUILLE DE NÉGOCIATION</t>
    </r>
  </si>
  <si>
    <r>
      <rPr>
        <sz val="12"/>
        <rFont val="Verdana"/>
        <family val="2"/>
      </rPr>
      <t>020</t>
    </r>
  </si>
  <si>
    <r>
      <rPr>
        <sz val="12"/>
        <rFont val="Verdana"/>
        <family val="2"/>
      </rPr>
      <t>Risque général</t>
    </r>
  </si>
  <si>
    <r>
      <rPr>
        <sz val="12"/>
        <rFont val="Verdana"/>
        <family val="2"/>
      </rPr>
      <t>021</t>
    </r>
  </si>
  <si>
    <r>
      <rPr>
        <sz val="12"/>
        <rFont val="Verdana"/>
        <family val="2"/>
      </rPr>
      <t>Dérivés</t>
    </r>
  </si>
  <si>
    <r>
      <rPr>
        <sz val="12"/>
        <rFont val="Verdana"/>
        <family val="2"/>
      </rPr>
      <t>022</t>
    </r>
  </si>
  <si>
    <r>
      <rPr>
        <sz val="12"/>
        <rFont val="Verdana"/>
        <family val="2"/>
      </rPr>
      <t>Autres éléments d’actif et de passif</t>
    </r>
  </si>
  <si>
    <r>
      <rPr>
        <sz val="12"/>
        <rFont val="Verdana"/>
        <family val="2"/>
      </rPr>
      <t>030</t>
    </r>
  </si>
  <si>
    <r>
      <rPr>
        <sz val="12"/>
        <rFont val="Verdana"/>
        <family val="2"/>
      </rPr>
      <t>Contrats à terme sur indice boursier largement diversifiés, négociés en bourse, et faisant l’objet d’une approche spécifique</t>
    </r>
  </si>
  <si>
    <r>
      <rPr>
        <sz val="12"/>
        <rFont val="Verdana"/>
        <family val="2"/>
      </rPr>
      <t>040</t>
    </r>
  </si>
  <si>
    <r>
      <rPr>
        <sz val="12"/>
        <rFont val="Verdana"/>
        <family val="2"/>
      </rPr>
      <t>Actions différentes d’un contrat à terme sur indice boursier largement diversifié, négocié en bourse</t>
    </r>
  </si>
  <si>
    <r>
      <rPr>
        <sz val="12"/>
        <rFont val="Verdana"/>
        <family val="2"/>
      </rPr>
      <t>050</t>
    </r>
  </si>
  <si>
    <r>
      <rPr>
        <sz val="12"/>
        <rFont val="Verdana"/>
        <family val="2"/>
      </rPr>
      <t>Risque spécifique</t>
    </r>
  </si>
  <si>
    <r>
      <rPr>
        <sz val="12"/>
        <rFont val="Verdana"/>
        <family val="2"/>
      </rPr>
      <t>090</t>
    </r>
  </si>
  <si>
    <r>
      <rPr>
        <sz val="12"/>
        <rFont val="Verdana"/>
        <family val="2"/>
      </rPr>
      <t>Exigences supplémentaires pour risques sur options (risques non delta)</t>
    </r>
  </si>
  <si>
    <r>
      <rPr>
        <sz val="12"/>
        <rFont val="Verdana"/>
        <family val="2"/>
      </rPr>
      <t>100</t>
    </r>
  </si>
  <si>
    <r>
      <rPr>
        <sz val="12"/>
        <rFont val="Verdana"/>
        <family val="2"/>
      </rPr>
      <t>Méthode simplifiée</t>
    </r>
  </si>
  <si>
    <r>
      <rPr>
        <sz val="12"/>
        <rFont val="Verdana"/>
        <family val="2"/>
      </rPr>
      <t>110</t>
    </r>
  </si>
  <si>
    <r>
      <rPr>
        <sz val="12"/>
        <rFont val="Verdana"/>
        <family val="2"/>
      </rPr>
      <t>Méthode delta-plus - Exigences supplémentaires pour risque gamma</t>
    </r>
  </si>
  <si>
    <r>
      <rPr>
        <sz val="12"/>
        <rFont val="Verdana"/>
        <family val="2"/>
      </rPr>
      <t>120</t>
    </r>
  </si>
  <si>
    <r>
      <rPr>
        <sz val="12"/>
        <rFont val="Verdana"/>
        <family val="2"/>
      </rPr>
      <t>Méthode delta-plus - Exigences supplémentaires pour risque vega</t>
    </r>
  </si>
  <si>
    <r>
      <rPr>
        <sz val="12"/>
        <rFont val="Verdana"/>
        <family val="2"/>
      </rPr>
      <t>130</t>
    </r>
  </si>
  <si>
    <r>
      <rPr>
        <sz val="12"/>
        <rFont val="Verdana"/>
        <family val="2"/>
      </rPr>
      <t xml:space="preserve">Approche matricielle par scénario </t>
    </r>
  </si>
  <si>
    <r>
      <rPr>
        <b/>
        <sz val="22"/>
        <rFont val="Verdana"/>
        <family val="2"/>
      </rPr>
      <t>C 22.00 - RISQUE DE MARCHÉ: APPROCHES STANDARD DU RISQUE DE CHANGE (MKR SA FX)</t>
    </r>
  </si>
  <si>
    <r>
      <rPr>
        <b/>
        <sz val="12"/>
        <rFont val="Verdana"/>
        <family val="2"/>
      </rPr>
      <t>TOUTES LES POSITIONS</t>
    </r>
  </si>
  <si>
    <r>
      <rPr>
        <b/>
        <sz val="12"/>
        <rFont val="Verdana"/>
        <family val="2"/>
      </rPr>
      <t>POSITIONS NETTES</t>
    </r>
  </si>
  <si>
    <r>
      <rPr>
        <b/>
        <sz val="12"/>
        <rFont val="Verdana"/>
        <family val="2"/>
      </rPr>
      <t>POSITIONS SOUMISES AUX EXIGENCES DE FONDS PROPRES
(y compris la redistribution des positions non compensées dans des devises différentes de celles de la déclaration soumises au traitement spécial pour les positions compensées)</t>
    </r>
  </si>
  <si>
    <r>
      <rPr>
        <b/>
        <sz val="12"/>
        <rFont val="Verdana"/>
        <family val="2"/>
      </rPr>
      <t>EXIGENCES DE FONDS PROPRES</t>
    </r>
  </si>
  <si>
    <r>
      <rPr>
        <b/>
        <sz val="12"/>
        <rFont val="Verdana"/>
        <family val="2"/>
      </rPr>
      <t>MONTANT TOTAL D'EXPOSITION AU RISQUE</t>
    </r>
  </si>
  <si>
    <r>
      <rPr>
        <b/>
        <sz val="12"/>
        <rFont val="Verdana"/>
        <family val="2"/>
      </rPr>
      <t>LONGUES</t>
    </r>
  </si>
  <si>
    <r>
      <rPr>
        <b/>
        <sz val="12"/>
        <rFont val="Verdana"/>
        <family val="2"/>
      </rPr>
      <t>COURTES</t>
    </r>
  </si>
  <si>
    <r>
      <rPr>
        <b/>
        <sz val="12"/>
        <rFont val="Verdana"/>
        <family val="2"/>
      </rPr>
      <t>LONGUES</t>
    </r>
  </si>
  <si>
    <r>
      <rPr>
        <b/>
        <sz val="12"/>
        <rFont val="Verdana"/>
        <family val="2"/>
      </rPr>
      <t>COURTES</t>
    </r>
  </si>
  <si>
    <r>
      <rPr>
        <b/>
        <sz val="12"/>
        <rFont val="Verdana"/>
        <family val="2"/>
      </rPr>
      <t>LONGUES</t>
    </r>
  </si>
  <si>
    <r>
      <rPr>
        <b/>
        <sz val="12"/>
        <rFont val="Verdana"/>
        <family val="2"/>
      </rPr>
      <t>COURTES</t>
    </r>
  </si>
  <si>
    <r>
      <rPr>
        <b/>
        <sz val="12"/>
        <rFont val="Verdana"/>
        <family val="2"/>
      </rPr>
      <t>COMPENSÉES</t>
    </r>
  </si>
  <si>
    <r>
      <rPr>
        <sz val="10"/>
        <rFont val="Verdana"/>
        <family val="2"/>
      </rPr>
      <t>020</t>
    </r>
  </si>
  <si>
    <r>
      <rPr>
        <sz val="10"/>
        <rFont val="Verdana"/>
        <family val="2"/>
      </rPr>
      <t>030</t>
    </r>
  </si>
  <si>
    <r>
      <rPr>
        <sz val="10"/>
        <rFont val="Verdana"/>
        <family val="2"/>
      </rPr>
      <t>040</t>
    </r>
  </si>
  <si>
    <r>
      <rPr>
        <sz val="10"/>
        <rFont val="Verdana"/>
        <family val="2"/>
      </rPr>
      <t>050</t>
    </r>
  </si>
  <si>
    <r>
      <rPr>
        <sz val="10"/>
        <rFont val="Verdana"/>
        <family val="2"/>
      </rPr>
      <t>060</t>
    </r>
  </si>
  <si>
    <r>
      <rPr>
        <sz val="10"/>
        <rFont val="Verdana"/>
        <family val="2"/>
      </rPr>
      <t>070</t>
    </r>
  </si>
  <si>
    <r>
      <rPr>
        <sz val="10"/>
        <rFont val="Verdana"/>
        <family val="2"/>
      </rPr>
      <t>080</t>
    </r>
  </si>
  <si>
    <r>
      <rPr>
        <sz val="10"/>
        <rFont val="Verdana"/>
        <family val="2"/>
      </rPr>
      <t>090</t>
    </r>
  </si>
  <si>
    <r>
      <rPr>
        <sz val="10"/>
        <rFont val="Verdana"/>
        <family val="2"/>
      </rPr>
      <t>100</t>
    </r>
  </si>
  <si>
    <r>
      <rPr>
        <sz val="10"/>
        <rFont val="Verdana"/>
        <family val="2"/>
      </rPr>
      <t>010</t>
    </r>
  </si>
  <si>
    <r>
      <rPr>
        <b/>
        <sz val="12"/>
        <rFont val="Verdana"/>
        <family val="2"/>
      </rPr>
      <t>TOTAL DES POSITIONS</t>
    </r>
  </si>
  <si>
    <r>
      <rPr>
        <sz val="12"/>
        <rFont val="Verdana"/>
        <family val="2"/>
      </rPr>
      <t>Cellule liée à l'état CA</t>
    </r>
  </si>
  <si>
    <r>
      <rPr>
        <sz val="10"/>
        <rFont val="Verdana"/>
        <family val="2"/>
      </rPr>
      <t>020</t>
    </r>
  </si>
  <si>
    <r>
      <rPr>
        <sz val="12"/>
        <rFont val="Verdana"/>
        <family val="2"/>
      </rPr>
      <t>Devises étroitement corrélées</t>
    </r>
  </si>
  <si>
    <r>
      <rPr>
        <sz val="10"/>
        <rFont val="Verdana"/>
        <family val="2"/>
      </rPr>
      <t>025</t>
    </r>
  </si>
  <si>
    <r>
      <rPr>
        <i/>
        <sz val="12"/>
        <rFont val="Verdana"/>
        <family val="2"/>
      </rPr>
      <t>dont:</t>
    </r>
    <r>
      <rPr>
        <sz val="12"/>
        <color theme="1"/>
        <rFont val="Verdana"/>
        <family val="2"/>
      </rPr>
      <t xml:space="preserve"> devise de la déclaration</t>
    </r>
  </si>
  <si>
    <r>
      <rPr>
        <sz val="10"/>
        <rFont val="Verdana"/>
        <family val="2"/>
      </rPr>
      <t>030</t>
    </r>
  </si>
  <si>
    <r>
      <rPr>
        <sz val="12"/>
        <rFont val="Verdana"/>
        <family val="2"/>
      </rPr>
      <t>Toutes les autres devises (y compris les OPC traités comme des devises différentes)</t>
    </r>
  </si>
  <si>
    <r>
      <rPr>
        <sz val="10"/>
        <rFont val="Verdana"/>
        <family val="2"/>
      </rPr>
      <t>040</t>
    </r>
  </si>
  <si>
    <r>
      <rPr>
        <sz val="12"/>
        <rFont val="Verdana"/>
        <family val="2"/>
      </rPr>
      <t xml:space="preserve">Or </t>
    </r>
  </si>
  <si>
    <r>
      <rPr>
        <sz val="10"/>
        <rFont val="Verdana"/>
        <family val="2"/>
      </rPr>
      <t>050</t>
    </r>
  </si>
  <si>
    <r>
      <rPr>
        <sz val="12"/>
        <rFont val="Verdana"/>
        <family val="2"/>
      </rPr>
      <t>Exigences supplémentaires pour risques sur options (risques non delta)</t>
    </r>
  </si>
  <si>
    <r>
      <rPr>
        <sz val="10"/>
        <rFont val="Verdana"/>
        <family val="2"/>
      </rPr>
      <t>060</t>
    </r>
  </si>
  <si>
    <r>
      <rPr>
        <sz val="12"/>
        <rFont val="Verdana"/>
        <family val="2"/>
      </rPr>
      <t>Méthode simplifiée</t>
    </r>
  </si>
  <si>
    <r>
      <rPr>
        <sz val="10"/>
        <rFont val="Verdana"/>
        <family val="2"/>
      </rPr>
      <t>070</t>
    </r>
  </si>
  <si>
    <r>
      <rPr>
        <sz val="12"/>
        <rFont val="Verdana"/>
        <family val="2"/>
      </rPr>
      <t>Méthode delta-plus - Exigences supplémentaires pour risque gamma</t>
    </r>
  </si>
  <si>
    <r>
      <rPr>
        <sz val="10"/>
        <rFont val="Verdana"/>
        <family val="2"/>
      </rPr>
      <t>080</t>
    </r>
  </si>
  <si>
    <r>
      <rPr>
        <sz val="12"/>
        <rFont val="Verdana"/>
        <family val="2"/>
      </rPr>
      <t>Méthode delta-plus - Exigences supplémentaires pour risque vega</t>
    </r>
  </si>
  <si>
    <r>
      <rPr>
        <sz val="10"/>
        <rFont val="Verdana"/>
        <family val="2"/>
      </rPr>
      <t>090</t>
    </r>
  </si>
  <si>
    <r>
      <rPr>
        <sz val="12"/>
        <rFont val="Verdana"/>
        <family val="2"/>
      </rPr>
      <t xml:space="preserve">Approche matricielle par scénario </t>
    </r>
  </si>
  <si>
    <r>
      <rPr>
        <b/>
        <sz val="12"/>
        <rFont val="Verdana"/>
        <family val="2"/>
      </rPr>
      <t>RÉPARTITION DU TOTAL DES POSITIONS (DEVISE DE LA DÉCLARATION Y COMPRISE) PAR CATÉGORIE D'EXPOSITIONS</t>
    </r>
  </si>
  <si>
    <r>
      <rPr>
        <sz val="12"/>
        <rFont val="Verdana"/>
        <family val="2"/>
      </rPr>
      <t>Éléments d'actif et de passif autres que les éléments de hors bilan et les dérivés</t>
    </r>
  </si>
  <si>
    <r>
      <rPr>
        <sz val="12"/>
        <rFont val="Verdana"/>
        <family val="2"/>
      </rPr>
      <t>Éléments de hors bilan</t>
    </r>
  </si>
  <si>
    <r>
      <rPr>
        <sz val="12"/>
        <rFont val="Verdana"/>
        <family val="2"/>
      </rPr>
      <t>Dérivés</t>
    </r>
  </si>
  <si>
    <r>
      <rPr>
        <b/>
        <sz val="12"/>
        <rFont val="Verdana"/>
        <family val="2"/>
      </rPr>
      <t>Pour mémoire: POSITIONS EN DEVISES</t>
    </r>
  </si>
  <si>
    <r>
      <rPr>
        <sz val="12"/>
        <color theme="1"/>
        <rFont val="Verdana"/>
        <family val="2"/>
      </rPr>
      <t>Euro</t>
    </r>
  </si>
  <si>
    <r>
      <rPr>
        <sz val="12"/>
        <color theme="1"/>
        <rFont val="Verdana"/>
        <family val="2"/>
      </rPr>
      <t>Lek</t>
    </r>
  </si>
  <si>
    <r>
      <rPr>
        <sz val="12"/>
        <color theme="1"/>
        <rFont val="Verdana"/>
        <family val="2"/>
      </rPr>
      <t>Peso argentin</t>
    </r>
  </si>
  <si>
    <r>
      <rPr>
        <sz val="12"/>
        <color theme="1"/>
        <rFont val="Verdana"/>
        <family val="2"/>
      </rPr>
      <t>Dollar australien</t>
    </r>
  </si>
  <si>
    <r>
      <rPr>
        <sz val="12"/>
        <color theme="1"/>
        <rFont val="Verdana"/>
        <family val="2"/>
      </rPr>
      <t>Real brésilien</t>
    </r>
  </si>
  <si>
    <r>
      <rPr>
        <sz val="12"/>
        <color theme="1"/>
        <rFont val="Verdana"/>
        <family val="2"/>
      </rPr>
      <t>Lev bulgare</t>
    </r>
  </si>
  <si>
    <r>
      <rPr>
        <sz val="12"/>
        <color theme="1"/>
        <rFont val="Verdana"/>
        <family val="2"/>
      </rPr>
      <t>Dollar canadien</t>
    </r>
  </si>
  <si>
    <r>
      <rPr>
        <sz val="12"/>
        <color theme="1"/>
        <rFont val="Verdana"/>
        <family val="2"/>
      </rPr>
      <t>Couronne tchèque</t>
    </r>
  </si>
  <si>
    <r>
      <rPr>
        <sz val="12"/>
        <color theme="1"/>
        <rFont val="Verdana"/>
        <family val="2"/>
      </rPr>
      <t>Couronne danoise</t>
    </r>
  </si>
  <si>
    <r>
      <rPr>
        <sz val="12"/>
        <color theme="1"/>
        <rFont val="Verdana"/>
        <family val="2"/>
      </rPr>
      <t>Livre égyptienne</t>
    </r>
  </si>
  <si>
    <r>
      <rPr>
        <sz val="12"/>
        <color theme="1"/>
        <rFont val="Verdana"/>
        <family val="2"/>
      </rPr>
      <t>Livre sterling</t>
    </r>
  </si>
  <si>
    <r>
      <rPr>
        <sz val="12"/>
        <color theme="1"/>
        <rFont val="Verdana"/>
        <family val="2"/>
      </rPr>
      <t>Forint</t>
    </r>
  </si>
  <si>
    <r>
      <rPr>
        <sz val="12"/>
        <color theme="1"/>
        <rFont val="Verdana"/>
        <family val="2"/>
      </rPr>
      <t>Yen</t>
    </r>
  </si>
  <si>
    <r>
      <rPr>
        <sz val="12"/>
        <color theme="1"/>
        <rFont val="Verdana"/>
        <family val="2"/>
      </rPr>
      <t>Litas lituanien</t>
    </r>
  </si>
  <si>
    <r>
      <rPr>
        <sz val="12"/>
        <color theme="1"/>
        <rFont val="Verdana"/>
        <family val="2"/>
      </rPr>
      <t>Denar</t>
    </r>
  </si>
  <si>
    <r>
      <rPr>
        <sz val="12"/>
        <color theme="1"/>
        <rFont val="Verdana"/>
        <family val="2"/>
      </rPr>
      <t>Peso mexicain</t>
    </r>
  </si>
  <si>
    <r>
      <rPr>
        <sz val="12"/>
        <color theme="1"/>
        <rFont val="Verdana"/>
        <family val="2"/>
      </rPr>
      <t>Zloty</t>
    </r>
  </si>
  <si>
    <r>
      <rPr>
        <sz val="12"/>
        <color theme="1"/>
        <rFont val="Verdana"/>
        <family val="2"/>
      </rPr>
      <t>Leu roumain</t>
    </r>
  </si>
  <si>
    <r>
      <rPr>
        <sz val="12"/>
        <color theme="1"/>
        <rFont val="Verdana"/>
        <family val="2"/>
      </rPr>
      <t>Rouble russe</t>
    </r>
  </si>
  <si>
    <r>
      <rPr>
        <sz val="12"/>
        <color theme="1"/>
        <rFont val="Verdana"/>
        <family val="2"/>
      </rPr>
      <t>Dinar serbe</t>
    </r>
  </si>
  <si>
    <r>
      <rPr>
        <sz val="12"/>
        <color theme="1"/>
        <rFont val="Verdana"/>
        <family val="2"/>
      </rPr>
      <t>Couronne suédoise</t>
    </r>
  </si>
  <si>
    <r>
      <rPr>
        <sz val="12"/>
        <color theme="1"/>
        <rFont val="Verdana"/>
        <family val="2"/>
      </rPr>
      <t>Franc suisse</t>
    </r>
  </si>
  <si>
    <r>
      <rPr>
        <sz val="12"/>
        <color theme="1"/>
        <rFont val="Verdana"/>
        <family val="2"/>
      </rPr>
      <t>Livre turque</t>
    </r>
  </si>
  <si>
    <r>
      <rPr>
        <sz val="12"/>
        <color theme="1"/>
        <rFont val="Verdana"/>
        <family val="2"/>
      </rPr>
      <t>Hryvnia</t>
    </r>
  </si>
  <si>
    <r>
      <rPr>
        <sz val="12"/>
        <color theme="1"/>
        <rFont val="Verdana"/>
        <family val="2"/>
      </rPr>
      <t>Dollar des États-Unis</t>
    </r>
  </si>
  <si>
    <r>
      <rPr>
        <sz val="12"/>
        <color theme="1"/>
        <rFont val="Verdana"/>
        <family val="2"/>
      </rPr>
      <t>Couronne islandaise</t>
    </r>
  </si>
  <si>
    <r>
      <rPr>
        <sz val="12"/>
        <color theme="1"/>
        <rFont val="Verdana"/>
        <family val="2"/>
      </rPr>
      <t>Couronne norvégienne</t>
    </r>
  </si>
  <si>
    <r>
      <rPr>
        <sz val="10"/>
        <rFont val="Verdana"/>
        <family val="2"/>
      </rPr>
      <t>410</t>
    </r>
  </si>
  <si>
    <r>
      <rPr>
        <sz val="12"/>
        <color theme="1"/>
        <rFont val="Verdana"/>
        <family val="2"/>
      </rPr>
      <t>Dollar de Hong Kong</t>
    </r>
  </si>
  <si>
    <r>
      <rPr>
        <sz val="10"/>
        <rFont val="Verdana"/>
        <family val="2"/>
      </rPr>
      <t>420</t>
    </r>
  </si>
  <si>
    <r>
      <rPr>
        <sz val="12"/>
        <color theme="1"/>
        <rFont val="Verdana"/>
        <family val="2"/>
      </rPr>
      <t>Nouveau dollar de Taïwan</t>
    </r>
  </si>
  <si>
    <r>
      <rPr>
        <sz val="10"/>
        <rFont val="Verdana"/>
        <family val="2"/>
      </rPr>
      <t>430</t>
    </r>
  </si>
  <si>
    <r>
      <rPr>
        <sz val="12"/>
        <color theme="1"/>
        <rFont val="Verdana"/>
        <family val="2"/>
      </rPr>
      <t>Dollar néo-zélandais</t>
    </r>
  </si>
  <si>
    <r>
      <rPr>
        <sz val="10"/>
        <rFont val="Verdana"/>
        <family val="2"/>
      </rPr>
      <t>440</t>
    </r>
  </si>
  <si>
    <r>
      <rPr>
        <sz val="12"/>
        <color theme="1"/>
        <rFont val="Verdana"/>
        <family val="2"/>
      </rPr>
      <t>Dollar de Singapour</t>
    </r>
  </si>
  <si>
    <r>
      <rPr>
        <sz val="10"/>
        <rFont val="Verdana"/>
        <family val="2"/>
      </rPr>
      <t>450</t>
    </r>
  </si>
  <si>
    <r>
      <rPr>
        <sz val="12"/>
        <color theme="1"/>
        <rFont val="Verdana"/>
        <family val="2"/>
      </rPr>
      <t>Won</t>
    </r>
  </si>
  <si>
    <r>
      <rPr>
        <sz val="10"/>
        <rFont val="Verdana"/>
        <family val="2"/>
      </rPr>
      <t>460</t>
    </r>
  </si>
  <si>
    <r>
      <rPr>
        <sz val="12"/>
        <color theme="1"/>
        <rFont val="Verdana"/>
        <family val="2"/>
      </rPr>
      <t>Yuan renminbi</t>
    </r>
  </si>
  <si>
    <r>
      <rPr>
        <sz val="10"/>
        <rFont val="Verdana"/>
        <family val="2"/>
      </rPr>
      <t>470</t>
    </r>
  </si>
  <si>
    <r>
      <rPr>
        <sz val="12"/>
        <color theme="1"/>
        <rFont val="Verdana"/>
        <family val="2"/>
      </rPr>
      <t>Autres</t>
    </r>
  </si>
  <si>
    <r>
      <rPr>
        <sz val="10"/>
        <rFont val="Verdana"/>
        <family val="2"/>
      </rPr>
      <t>480</t>
    </r>
  </si>
  <si>
    <r>
      <rPr>
        <sz val="12"/>
        <rFont val="Verdana"/>
        <family val="2"/>
      </rPr>
      <t>Kuna croate</t>
    </r>
  </si>
  <si>
    <r>
      <rPr>
        <b/>
        <sz val="13"/>
        <rFont val="Verdana"/>
        <family val="2"/>
      </rPr>
      <t xml:space="preserve"> C 23.00 - RISQUE DE MARCHÉ: APPROCHES STANDARD POUR LES MATIÈRES PREMIÈRES (MKR SA COM)</t>
    </r>
  </si>
  <si>
    <r>
      <rPr>
        <b/>
        <sz val="11"/>
        <rFont val="Verdana"/>
        <family val="2"/>
      </rPr>
      <t>TOUTES LES POSITIONS</t>
    </r>
  </si>
  <si>
    <r>
      <rPr>
        <b/>
        <sz val="11"/>
        <rFont val="Verdana"/>
        <family val="2"/>
      </rPr>
      <t>POSITIONS NETTES</t>
    </r>
  </si>
  <si>
    <r>
      <rPr>
        <b/>
        <sz val="11"/>
        <rFont val="Verdana"/>
        <family val="2"/>
      </rPr>
      <t>POSITIONS SOUMISES AUX EXIGENCES DE FONDS PROPRES</t>
    </r>
  </si>
  <si>
    <r>
      <rPr>
        <b/>
        <sz val="11"/>
        <rFont val="Verdana"/>
        <family val="2"/>
      </rPr>
      <t>EXIGENCES DE FONDS PROPRES</t>
    </r>
  </si>
  <si>
    <r>
      <rPr>
        <b/>
        <sz val="11"/>
        <rFont val="Verdana"/>
        <family val="2"/>
      </rPr>
      <t>MONTANT TOTAL D'EXPOSITION AU RISQUE</t>
    </r>
  </si>
  <si>
    <r>
      <rPr>
        <b/>
        <sz val="11"/>
        <rFont val="Verdana"/>
        <family val="2"/>
      </rPr>
      <t>LONGUES</t>
    </r>
  </si>
  <si>
    <r>
      <rPr>
        <b/>
        <sz val="11"/>
        <rFont val="Verdana"/>
        <family val="2"/>
      </rPr>
      <t>COURTES</t>
    </r>
  </si>
  <si>
    <r>
      <rPr>
        <b/>
        <sz val="11"/>
        <rFont val="Verdana"/>
        <family val="2"/>
      </rPr>
      <t>LONGUES</t>
    </r>
  </si>
  <si>
    <r>
      <rPr>
        <b/>
        <sz val="11"/>
        <rFont val="Verdana"/>
        <family val="2"/>
      </rPr>
      <t>COURTES</t>
    </r>
  </si>
  <si>
    <r>
      <rPr>
        <sz val="10"/>
        <rFont val="Verdana"/>
        <family val="2"/>
      </rPr>
      <t>010</t>
    </r>
  </si>
  <si>
    <r>
      <rPr>
        <sz val="10"/>
        <rFont val="Verdana"/>
        <family val="2"/>
      </rPr>
      <t>020</t>
    </r>
  </si>
  <si>
    <r>
      <rPr>
        <sz val="10"/>
        <rFont val="Verdana"/>
        <family val="2"/>
      </rPr>
      <t>030</t>
    </r>
  </si>
  <si>
    <r>
      <rPr>
        <sz val="10"/>
        <rFont val="Verdana"/>
        <family val="2"/>
      </rPr>
      <t>040</t>
    </r>
  </si>
  <si>
    <r>
      <rPr>
        <sz val="10"/>
        <rFont val="Verdana"/>
        <family val="2"/>
      </rPr>
      <t>050</t>
    </r>
  </si>
  <si>
    <r>
      <rPr>
        <sz val="10"/>
        <rFont val="Verdana"/>
        <family val="2"/>
      </rPr>
      <t>060</t>
    </r>
  </si>
  <si>
    <r>
      <rPr>
        <sz val="10"/>
        <rFont val="Verdana"/>
        <family val="2"/>
      </rPr>
      <t>070</t>
    </r>
  </si>
  <si>
    <r>
      <rPr>
        <sz val="10"/>
        <rFont val="Verdana"/>
        <family val="2"/>
      </rPr>
      <t>010</t>
    </r>
  </si>
  <si>
    <r>
      <rPr>
        <b/>
        <sz val="11"/>
        <rFont val="Verdana"/>
        <family val="2"/>
      </rPr>
      <t>TOTAL DES POSITIONS SUR MATIÈRES PREMIÈRES</t>
    </r>
  </si>
  <si>
    <r>
      <rPr>
        <sz val="11"/>
        <rFont val="Verdana"/>
        <family val="2"/>
      </rPr>
      <t>Cellule liée à l'état CA</t>
    </r>
  </si>
  <si>
    <r>
      <rPr>
        <sz val="10"/>
        <rFont val="Verdana"/>
        <family val="2"/>
      </rPr>
      <t>020</t>
    </r>
  </si>
  <si>
    <r>
      <rPr>
        <sz val="11"/>
        <rFont val="Verdana"/>
        <family val="2"/>
      </rPr>
      <t>Métaux précieux (hormis l'or)</t>
    </r>
  </si>
  <si>
    <r>
      <rPr>
        <sz val="10"/>
        <rFont val="Verdana"/>
        <family val="2"/>
      </rPr>
      <t>030</t>
    </r>
  </si>
  <si>
    <r>
      <rPr>
        <sz val="11"/>
        <rFont val="Verdana"/>
        <family val="2"/>
      </rPr>
      <t>Métaux de base</t>
    </r>
  </si>
  <si>
    <r>
      <rPr>
        <sz val="10"/>
        <rFont val="Verdana"/>
        <family val="2"/>
      </rPr>
      <t>040</t>
    </r>
  </si>
  <si>
    <r>
      <rPr>
        <sz val="11"/>
        <rFont val="Verdana"/>
        <family val="2"/>
      </rPr>
      <t>Produits non durables (agricoles)</t>
    </r>
  </si>
  <si>
    <r>
      <rPr>
        <sz val="10"/>
        <rFont val="Verdana"/>
        <family val="2"/>
      </rPr>
      <t>050</t>
    </r>
  </si>
  <si>
    <r>
      <rPr>
        <sz val="11"/>
        <rFont val="Verdana"/>
        <family val="2"/>
      </rPr>
      <t>Autres</t>
    </r>
  </si>
  <si>
    <r>
      <rPr>
        <sz val="10"/>
        <rFont val="Verdana"/>
        <family val="2"/>
      </rPr>
      <t>060</t>
    </r>
  </si>
  <si>
    <r>
      <rPr>
        <sz val="11"/>
        <rFont val="Verdana"/>
        <family val="2"/>
      </rPr>
      <t xml:space="preserve"> Dont produits énergétiques (pétrole, gaz)</t>
    </r>
  </si>
  <si>
    <r>
      <rPr>
        <sz val="10"/>
        <rFont val="Verdana"/>
        <family val="2"/>
      </rPr>
      <t>070</t>
    </r>
  </si>
  <si>
    <r>
      <rPr>
        <sz val="11"/>
        <rFont val="Verdana"/>
        <family val="2"/>
      </rPr>
      <t>Approche du tableau d'échéances</t>
    </r>
  </si>
  <si>
    <r>
      <rPr>
        <sz val="10"/>
        <rFont val="Verdana"/>
        <family val="2"/>
      </rPr>
      <t>080</t>
    </r>
  </si>
  <si>
    <r>
      <rPr>
        <sz val="11"/>
        <rFont val="Verdana"/>
        <family val="2"/>
      </rPr>
      <t>Approche du tableau d'échéances élargie</t>
    </r>
  </si>
  <si>
    <r>
      <rPr>
        <sz val="10"/>
        <rFont val="Verdana"/>
        <family val="2"/>
      </rPr>
      <t>090</t>
    </r>
  </si>
  <si>
    <r>
      <rPr>
        <sz val="11"/>
        <rFont val="Verdana"/>
        <family val="2"/>
      </rPr>
      <t>Approche simplifiée: Toutes les positions</t>
    </r>
  </si>
  <si>
    <r>
      <rPr>
        <sz val="11"/>
        <rFont val="Verdana"/>
        <family val="2"/>
      </rPr>
      <t>Exigences supplémentaires pour risques sur options (risques non delta)</t>
    </r>
  </si>
  <si>
    <r>
      <rPr>
        <sz val="11"/>
        <rFont val="Verdana"/>
        <family val="2"/>
      </rPr>
      <t>Méthode simplifiée</t>
    </r>
  </si>
  <si>
    <r>
      <rPr>
        <sz val="11"/>
        <rFont val="Verdana"/>
        <family val="2"/>
      </rPr>
      <t>Méthode delta-plus - Exigences supplémentaires pour risque gamma</t>
    </r>
  </si>
  <si>
    <r>
      <rPr>
        <sz val="11"/>
        <rFont val="Verdana"/>
        <family val="2"/>
      </rPr>
      <t>Méthode delta-plus - Exigences supplémentaires pour risque vega</t>
    </r>
  </si>
  <si>
    <r>
      <rPr>
        <sz val="11"/>
        <rFont val="Verdana"/>
        <family val="2"/>
      </rPr>
      <t xml:space="preserve">Approche matricielle par scénario </t>
    </r>
  </si>
  <si>
    <r>
      <rPr>
        <b/>
        <sz val="22"/>
        <rFont val="Verdana"/>
        <family val="2"/>
      </rPr>
      <t xml:space="preserve"> C 24.00 - RISQUE DE MARCHÉ SELON L’APPROCHE FONDÉE SUR LES MODÈLES INTERNES (MKR IM)</t>
    </r>
  </si>
  <si>
    <r>
      <rPr>
        <b/>
        <sz val="22"/>
        <rFont val="Verdana"/>
        <family val="2"/>
      </rPr>
      <t xml:space="preserve"> C 24.00 - RISQUE DE MARCHÉ SELON L’APPROCHE FONDÉE SUR LES MODÈLES INTERNES (MKR IM)</t>
    </r>
  </si>
  <si>
    <r>
      <rPr>
        <b/>
        <sz val="14"/>
        <rFont val="Verdana"/>
        <family val="2"/>
      </rPr>
      <t>Valeur en risque (VaR)</t>
    </r>
  </si>
  <si>
    <r>
      <rPr>
        <b/>
        <sz val="14"/>
        <rFont val="Verdana"/>
        <family val="2"/>
      </rPr>
      <t>VaR EN SITUATION DE TENSIONS</t>
    </r>
  </si>
  <si>
    <r>
      <rPr>
        <b/>
        <sz val="14"/>
        <rFont val="Verdana"/>
        <family val="2"/>
      </rPr>
      <t>EXIGENCES DE FONDS PROPRES POUR RISQUES SUPPLÉMENTAIRES DE DÉFAUT ET DE MIGRATION</t>
    </r>
  </si>
  <si>
    <r>
      <rPr>
        <b/>
        <sz val="14"/>
        <rFont val="Verdana"/>
        <family val="2"/>
      </rPr>
      <t>EXIGENCES DE FONDS PROPRES TOUS RISQUES DE PRIX POUR LE PORTEFEUILLE DE NÉGOCIATION EN CORRÉLATION</t>
    </r>
  </si>
  <si>
    <r>
      <rPr>
        <b/>
        <sz val="14"/>
        <rFont val="Verdana"/>
        <family val="2"/>
      </rPr>
      <t>EXIGENCES DE FONDS PROPRES</t>
    </r>
  </si>
  <si>
    <r>
      <rPr>
        <b/>
        <sz val="14"/>
        <rFont val="Verdana"/>
        <family val="2"/>
      </rPr>
      <t>MONTANT TOTAL D'EXPOSITION AU RISQUE</t>
    </r>
  </si>
  <si>
    <r>
      <rPr>
        <b/>
        <sz val="14"/>
        <rFont val="Verdana"/>
        <family val="2"/>
      </rPr>
      <t>Nombre de dépassements
au cours des 250 derniers jours ouvrés</t>
    </r>
  </si>
  <si>
    <r>
      <rPr>
        <b/>
        <sz val="14"/>
        <rFont val="Verdana"/>
        <family val="2"/>
      </rPr>
      <t>Facteur de multiplication de la valeur en risque (m</t>
    </r>
    <r>
      <rPr>
        <b/>
        <vertAlign val="subscript"/>
        <sz val="14"/>
        <color theme="1"/>
        <rFont val="Verdana"/>
        <family val="2"/>
      </rPr>
      <t>c</t>
    </r>
    <r>
      <rPr>
        <b/>
        <sz val="14"/>
        <color theme="1"/>
        <rFont val="Verdana"/>
        <family val="2"/>
      </rPr>
      <t>)</t>
    </r>
  </si>
  <si>
    <r>
      <rPr>
        <b/>
        <sz val="14"/>
        <rFont val="Verdana"/>
        <family val="2"/>
      </rPr>
      <t>Facteur de multiplication de la valeur en risque en situation de tensions (m</t>
    </r>
    <r>
      <rPr>
        <b/>
        <vertAlign val="subscript"/>
        <sz val="14"/>
        <color theme="1"/>
        <rFont val="Verdana"/>
        <family val="2"/>
      </rPr>
      <t>s</t>
    </r>
    <r>
      <rPr>
        <b/>
        <sz val="14"/>
        <color theme="1"/>
        <rFont val="Verdana"/>
        <family val="2"/>
      </rPr>
      <t>)</t>
    </r>
  </si>
  <si>
    <r>
      <rPr>
        <b/>
        <sz val="14"/>
        <rFont val="Verdana"/>
        <family val="2"/>
      </rPr>
      <t>EXIGENCE PRÉSUMÉE POUR LE PLANCHER DU PORTEFEUILLE DE NÉGOCIATION EN CORRÉLATION - POSITIONS LONGUES NETTES PONDÉRÉES APRÈS APPLICATION DU PLAFOND</t>
    </r>
  </si>
  <si>
    <r>
      <rPr>
        <b/>
        <sz val="14"/>
        <rFont val="Verdana"/>
        <family val="2"/>
      </rPr>
      <t>EXIGENCE PRÉSUMÉE POUR LE PLANCHER DU PORTEFEUILLE DE NÉGOCIATION EN CORRÉLATION - POSITIONS COURTES NETTES PONDÉRÉES APRÈS APPLICATION DU PLAFOND</t>
    </r>
  </si>
  <si>
    <r>
      <rPr>
        <b/>
        <sz val="14"/>
        <rFont val="Verdana"/>
        <family val="2"/>
      </rPr>
      <t>FACTEUR DE MULTIPLICATION (m</t>
    </r>
    <r>
      <rPr>
        <b/>
        <vertAlign val="subscript"/>
        <sz val="14"/>
        <color theme="1"/>
        <rFont val="Verdana"/>
        <family val="2"/>
      </rPr>
      <t>c</t>
    </r>
    <r>
      <rPr>
        <b/>
        <sz val="14"/>
        <color theme="1"/>
        <rFont val="Verdana"/>
        <family val="2"/>
      </rPr>
      <t>) x MOYENNE DES 60 DERNIERS JOURS OUVRÉS (VaR</t>
    </r>
    <r>
      <rPr>
        <b/>
        <vertAlign val="subscript"/>
        <sz val="14"/>
        <color theme="1"/>
        <rFont val="Verdana"/>
        <family val="2"/>
      </rPr>
      <t>avg</t>
    </r>
    <r>
      <rPr>
        <b/>
        <sz val="14"/>
        <color theme="1"/>
        <rFont val="Verdana"/>
        <family val="2"/>
      </rPr>
      <t>)</t>
    </r>
  </si>
  <si>
    <r>
      <rPr>
        <b/>
        <sz val="14"/>
        <rFont val="Verdana"/>
        <family val="2"/>
      </rPr>
      <t>VaR de la veille (VaR</t>
    </r>
    <r>
      <rPr>
        <b/>
        <vertAlign val="subscript"/>
        <sz val="14"/>
        <color theme="1"/>
        <rFont val="Verdana"/>
        <family val="2"/>
      </rPr>
      <t>t-1</t>
    </r>
    <r>
      <rPr>
        <b/>
        <sz val="14"/>
        <color theme="1"/>
        <rFont val="Verdana"/>
        <family val="2"/>
      </rPr>
      <t>)</t>
    </r>
  </si>
  <si>
    <r>
      <rPr>
        <b/>
        <sz val="14"/>
        <rFont val="Verdana"/>
        <family val="2"/>
      </rPr>
      <t>FACTEUR DE MULTIPLICATION (m</t>
    </r>
    <r>
      <rPr>
        <b/>
        <vertAlign val="subscript"/>
        <sz val="14"/>
        <color theme="1"/>
        <rFont val="Verdana"/>
        <family val="2"/>
      </rPr>
      <t>s</t>
    </r>
    <r>
      <rPr>
        <b/>
        <sz val="14"/>
        <color theme="1"/>
        <rFont val="Verdana"/>
        <family val="2"/>
      </rPr>
      <t>) x MOYENNE DES 60 DERNIERS JOURS OUVRÉS (SVaR</t>
    </r>
    <r>
      <rPr>
        <b/>
        <vertAlign val="subscript"/>
        <sz val="14"/>
        <color theme="1"/>
        <rFont val="Verdana"/>
        <family val="2"/>
      </rPr>
      <t>avg</t>
    </r>
    <r>
      <rPr>
        <b/>
        <sz val="14"/>
        <color theme="1"/>
        <rFont val="Verdana"/>
        <family val="2"/>
      </rPr>
      <t>)</t>
    </r>
  </si>
  <si>
    <r>
      <rPr>
        <b/>
        <sz val="14"/>
        <rFont val="Verdana"/>
        <family val="2"/>
      </rPr>
      <t>DERNIÈRE MESURE DISPONIBLE (SVaR</t>
    </r>
    <r>
      <rPr>
        <b/>
        <vertAlign val="subscript"/>
        <sz val="14"/>
        <color theme="1"/>
        <rFont val="Verdana"/>
        <family val="2"/>
      </rPr>
      <t>t-1</t>
    </r>
    <r>
      <rPr>
        <b/>
        <sz val="14"/>
        <color theme="1"/>
        <rFont val="Verdana"/>
        <family val="2"/>
      </rPr>
      <t>)</t>
    </r>
  </si>
  <si>
    <r>
      <rPr>
        <b/>
        <sz val="14"/>
        <rFont val="Verdana"/>
        <family val="2"/>
      </rPr>
      <t>MESURE MOYENNE SUR 12 SEMAINES</t>
    </r>
  </si>
  <si>
    <r>
      <rPr>
        <b/>
        <sz val="14"/>
        <rFont val="Verdana"/>
        <family val="2"/>
      </rPr>
      <t>DERNIÈRE MESURE</t>
    </r>
  </si>
  <si>
    <r>
      <rPr>
        <b/>
        <sz val="14"/>
        <rFont val="Verdana"/>
        <family val="2"/>
      </rPr>
      <t>PLANCHER</t>
    </r>
  </si>
  <si>
    <r>
      <rPr>
        <b/>
        <sz val="14"/>
        <rFont val="Verdana"/>
        <family val="2"/>
      </rPr>
      <t>MESURE MOYENNE SUR 12 SEMAINES</t>
    </r>
  </si>
  <si>
    <r>
      <rPr>
        <b/>
        <sz val="14"/>
        <rFont val="Verdana"/>
        <family val="2"/>
      </rPr>
      <t>DERNIÈRE MESURE</t>
    </r>
  </si>
  <si>
    <r>
      <rPr>
        <sz val="14"/>
        <rFont val="Verdana"/>
        <family val="2"/>
      </rPr>
      <t>030</t>
    </r>
  </si>
  <si>
    <r>
      <rPr>
        <sz val="14"/>
        <rFont val="Verdana"/>
        <family val="2"/>
      </rPr>
      <t>040</t>
    </r>
  </si>
  <si>
    <r>
      <rPr>
        <sz val="14"/>
        <rFont val="Verdana"/>
        <family val="2"/>
      </rPr>
      <t>050</t>
    </r>
  </si>
  <si>
    <r>
      <rPr>
        <sz val="14"/>
        <rFont val="Verdana"/>
        <family val="2"/>
      </rPr>
      <t>060</t>
    </r>
  </si>
  <si>
    <r>
      <rPr>
        <sz val="14"/>
        <rFont val="Verdana"/>
        <family val="2"/>
      </rPr>
      <t>070</t>
    </r>
  </si>
  <si>
    <r>
      <rPr>
        <sz val="14"/>
        <rFont val="Verdana"/>
        <family val="2"/>
      </rPr>
      <t>080</t>
    </r>
  </si>
  <si>
    <r>
      <rPr>
        <sz val="14"/>
        <rFont val="Verdana"/>
        <family val="2"/>
      </rPr>
      <t>090</t>
    </r>
  </si>
  <si>
    <r>
      <rPr>
        <sz val="14"/>
        <rFont val="Verdana"/>
        <family val="2"/>
      </rPr>
      <t>100</t>
    </r>
  </si>
  <si>
    <r>
      <rPr>
        <sz val="14"/>
        <rFont val="Verdana"/>
        <family val="2"/>
      </rPr>
      <t>110</t>
    </r>
  </si>
  <si>
    <r>
      <rPr>
        <sz val="14"/>
        <rFont val="Verdana"/>
        <family val="2"/>
      </rPr>
      <t>120</t>
    </r>
  </si>
  <si>
    <r>
      <rPr>
        <sz val="14"/>
        <rFont val="Verdana"/>
        <family val="2"/>
      </rPr>
      <t>140</t>
    </r>
  </si>
  <si>
    <r>
      <rPr>
        <sz val="14"/>
        <rFont val="Verdana"/>
        <family val="2"/>
      </rPr>
      <t>150</t>
    </r>
  </si>
  <si>
    <r>
      <rPr>
        <sz val="14"/>
        <rFont val="Verdana"/>
        <family val="2"/>
      </rPr>
      <t>160</t>
    </r>
  </si>
  <si>
    <r>
      <rPr>
        <sz val="14"/>
        <rFont val="Verdana"/>
        <family val="2"/>
      </rPr>
      <t>170</t>
    </r>
  </si>
  <si>
    <r>
      <rPr>
        <sz val="14"/>
        <rFont val="Verdana"/>
        <family val="2"/>
      </rPr>
      <t>180</t>
    </r>
  </si>
  <si>
    <r>
      <rPr>
        <sz val="14"/>
        <rFont val="Verdana"/>
        <family val="2"/>
      </rPr>
      <t>010</t>
    </r>
  </si>
  <si>
    <r>
      <rPr>
        <b/>
        <sz val="14"/>
        <rFont val="Verdana"/>
        <family val="2"/>
      </rPr>
      <t xml:space="preserve"> TOTAL DES POSITIONS</t>
    </r>
  </si>
  <si>
    <r>
      <rPr>
        <sz val="10"/>
        <rFont val="Verdana"/>
        <family val="2"/>
      </rPr>
      <t>Cellule liée à l'état CA</t>
    </r>
  </si>
  <si>
    <r>
      <rPr>
        <b/>
        <sz val="14"/>
        <rFont val="Verdana"/>
        <family val="2"/>
      </rPr>
      <t xml:space="preserve"> Pour mémoire: RÉPARTITION DU RISQUE DE MARCHÉ</t>
    </r>
  </si>
  <si>
    <r>
      <rPr>
        <sz val="14"/>
        <rFont val="Verdana"/>
        <family val="2"/>
      </rPr>
      <t>020</t>
    </r>
  </si>
  <si>
    <r>
      <rPr>
        <b/>
        <sz val="14"/>
        <rFont val="Verdana"/>
        <family val="2"/>
      </rPr>
      <t>Titres de créance négociés</t>
    </r>
  </si>
  <si>
    <r>
      <rPr>
        <sz val="14"/>
        <rFont val="Verdana"/>
        <family val="2"/>
      </rPr>
      <t>030</t>
    </r>
  </si>
  <si>
    <r>
      <rPr>
        <b/>
        <sz val="14"/>
        <rFont val="Verdana"/>
        <family val="2"/>
      </rPr>
      <t>Titres de créance négociés - Risque général</t>
    </r>
  </si>
  <si>
    <r>
      <rPr>
        <sz val="14"/>
        <rFont val="Verdana"/>
        <family val="2"/>
      </rPr>
      <t>040</t>
    </r>
  </si>
  <si>
    <r>
      <rPr>
        <b/>
        <sz val="14"/>
        <rFont val="Verdana"/>
        <family val="2"/>
      </rPr>
      <t>Titres de créance négociés - Risque spécifique</t>
    </r>
  </si>
  <si>
    <r>
      <rPr>
        <sz val="14"/>
        <rFont val="Verdana"/>
        <family val="2"/>
      </rPr>
      <t>050</t>
    </r>
  </si>
  <si>
    <r>
      <rPr>
        <b/>
        <sz val="14"/>
        <rFont val="Verdana"/>
        <family val="2"/>
      </rPr>
      <t>Actions</t>
    </r>
  </si>
  <si>
    <r>
      <rPr>
        <sz val="14"/>
        <rFont val="Verdana"/>
        <family val="2"/>
      </rPr>
      <t>060</t>
    </r>
  </si>
  <si>
    <r>
      <rPr>
        <b/>
        <sz val="14"/>
        <rFont val="Verdana"/>
        <family val="2"/>
      </rPr>
      <t>Actions - Risque général</t>
    </r>
  </si>
  <si>
    <r>
      <rPr>
        <sz val="14"/>
        <rFont val="Verdana"/>
        <family val="2"/>
      </rPr>
      <t>070</t>
    </r>
  </si>
  <si>
    <r>
      <rPr>
        <b/>
        <sz val="14"/>
        <rFont val="Verdana"/>
        <family val="2"/>
      </rPr>
      <t>Actions - Risque spécifique</t>
    </r>
  </si>
  <si>
    <r>
      <rPr>
        <sz val="14"/>
        <rFont val="Verdana"/>
        <family val="2"/>
      </rPr>
      <t>080</t>
    </r>
  </si>
  <si>
    <r>
      <rPr>
        <b/>
        <sz val="14"/>
        <rFont val="Verdana"/>
        <family val="2"/>
      </rPr>
      <t>Risque de change</t>
    </r>
  </si>
  <si>
    <r>
      <rPr>
        <sz val="14"/>
        <rFont val="Verdana"/>
        <family val="2"/>
      </rPr>
      <t>090</t>
    </r>
  </si>
  <si>
    <r>
      <rPr>
        <b/>
        <sz val="14"/>
        <rFont val="Verdana"/>
        <family val="2"/>
      </rPr>
      <t>Risque sur matières premières</t>
    </r>
  </si>
  <si>
    <r>
      <rPr>
        <sz val="14"/>
        <rFont val="Verdana"/>
        <family val="2"/>
      </rPr>
      <t>100</t>
    </r>
  </si>
  <si>
    <r>
      <rPr>
        <b/>
        <sz val="14"/>
        <rFont val="Verdana"/>
        <family val="2"/>
      </rPr>
      <t>Montant total Risque général</t>
    </r>
  </si>
  <si>
    <r>
      <rPr>
        <sz val="14"/>
        <rFont val="Verdana"/>
        <family val="2"/>
      </rPr>
      <t>110</t>
    </r>
  </si>
  <si>
    <r>
      <rPr>
        <b/>
        <sz val="14"/>
        <rFont val="Verdana"/>
        <family val="2"/>
      </rPr>
      <t>Montant total Risque spécifique</t>
    </r>
  </si>
  <si>
    <r>
      <rPr>
        <b/>
        <sz val="16"/>
        <color theme="1"/>
        <rFont val="Verdana"/>
        <family val="2"/>
      </rPr>
      <t xml:space="preserve"> C 25.00 - RISQUE D'AJUSTEMENT DE L'ÉVALUATION DE CRÉDIT (CVA)</t>
    </r>
  </si>
  <si>
    <r>
      <rPr>
        <b/>
        <sz val="10"/>
        <rFont val="Verdana"/>
        <family val="2"/>
      </rPr>
      <t>VALEUR EXPOSÉE AU RISQUE</t>
    </r>
  </si>
  <si>
    <r>
      <rPr>
        <b/>
        <sz val="10"/>
        <rFont val="Verdana"/>
        <family val="2"/>
      </rPr>
      <t>Valeur en risque (VaR)</t>
    </r>
  </si>
  <si>
    <r>
      <rPr>
        <b/>
        <sz val="10"/>
        <rFont val="Verdana"/>
        <family val="2"/>
      </rPr>
      <t>VaR EN SITUATION DE TENSIONS</t>
    </r>
  </si>
  <si>
    <r>
      <rPr>
        <b/>
        <sz val="10"/>
        <rFont val="Verdana"/>
        <family val="2"/>
      </rPr>
      <t>EXIGENCES DE 
FONDS PROPRES</t>
    </r>
  </si>
  <si>
    <r>
      <rPr>
        <b/>
        <sz val="10"/>
        <rFont val="Verdana"/>
        <family val="2"/>
      </rPr>
      <t>MONTANT TOTAL 
D'EXPOSITION AU RISQUE</t>
    </r>
  </si>
  <si>
    <r>
      <rPr>
        <b/>
        <sz val="10"/>
        <rFont val="Verdana"/>
        <family val="2"/>
      </rPr>
      <t>POUR MÉMOIRE</t>
    </r>
  </si>
  <si>
    <r>
      <rPr>
        <b/>
        <sz val="10"/>
        <rFont val="Verdana"/>
        <family val="2"/>
      </rPr>
      <t>MONTANTS NOTIONNELS DE COUVERTURE POUR RISQUE CVA</t>
    </r>
  </si>
  <si>
    <r>
      <rPr>
        <b/>
        <sz val="10"/>
        <rFont val="Verdana"/>
        <family val="2"/>
      </rPr>
      <t xml:space="preserve">dont:
 Instruments dérivés de gré à gré </t>
    </r>
  </si>
  <si>
    <r>
      <rPr>
        <b/>
        <sz val="10"/>
        <rFont val="Verdana"/>
        <family val="2"/>
      </rPr>
      <t>dont:
Opérations de financement sur titres</t>
    </r>
  </si>
  <si>
    <r>
      <rPr>
        <b/>
        <sz val="10"/>
        <rFont val="Verdana"/>
        <family val="2"/>
      </rPr>
      <t>FACTEUR DE MULTIPLICATION (m</t>
    </r>
    <r>
      <rPr>
        <b/>
        <vertAlign val="subscript"/>
        <sz val="10"/>
        <color rgb="FF000000"/>
        <rFont val="Verdana"/>
        <family val="2"/>
      </rPr>
      <t>c</t>
    </r>
    <r>
      <rPr>
        <b/>
        <sz val="10"/>
        <color theme="1"/>
        <rFont val="Verdana"/>
        <family val="2"/>
      </rPr>
      <t>) x MOYENNE DES 60 DERNIERS JOURS OUVRÉS (VaR</t>
    </r>
    <r>
      <rPr>
        <b/>
        <vertAlign val="subscript"/>
        <sz val="10"/>
        <color rgb="FF000000"/>
        <rFont val="Verdana"/>
        <family val="2"/>
      </rPr>
      <t>avg</t>
    </r>
    <r>
      <rPr>
        <b/>
        <sz val="10"/>
        <color theme="1"/>
        <rFont val="Verdana"/>
        <family val="2"/>
      </rPr>
      <t>)</t>
    </r>
  </si>
  <si>
    <r>
      <rPr>
        <b/>
        <sz val="10"/>
        <rFont val="Verdana"/>
        <family val="2"/>
      </rPr>
      <t>VaR de la veille
(VaR</t>
    </r>
    <r>
      <rPr>
        <b/>
        <vertAlign val="subscript"/>
        <sz val="10"/>
        <color rgb="FF000000"/>
        <rFont val="Verdana"/>
        <family val="2"/>
      </rPr>
      <t>t-1</t>
    </r>
    <r>
      <rPr>
        <b/>
        <sz val="10"/>
        <color theme="1"/>
        <rFont val="Verdana"/>
        <family val="2"/>
      </rPr>
      <t>)</t>
    </r>
  </si>
  <si>
    <r>
      <rPr>
        <b/>
        <sz val="10"/>
        <rFont val="Verdana"/>
        <family val="2"/>
      </rPr>
      <t>FACTEUR DE MULTIPLICATION (m</t>
    </r>
    <r>
      <rPr>
        <b/>
        <vertAlign val="subscript"/>
        <sz val="10"/>
        <color rgb="FF000000"/>
        <rFont val="Verdana"/>
        <family val="2"/>
      </rPr>
      <t>s</t>
    </r>
    <r>
      <rPr>
        <b/>
        <sz val="10"/>
        <color theme="1"/>
        <rFont val="Verdana"/>
        <family val="2"/>
      </rPr>
      <t>) x MOYENNE DES 60 DERNIERS JOURS OUVRÉS (SVaR</t>
    </r>
    <r>
      <rPr>
        <b/>
        <vertAlign val="subscript"/>
        <sz val="10"/>
        <color rgb="FF000000"/>
        <rFont val="Verdana"/>
        <family val="2"/>
      </rPr>
      <t>avg</t>
    </r>
    <r>
      <rPr>
        <b/>
        <sz val="10"/>
        <color theme="1"/>
        <rFont val="Verdana"/>
        <family val="2"/>
      </rPr>
      <t>)</t>
    </r>
  </si>
  <si>
    <r>
      <rPr>
        <b/>
        <sz val="10"/>
        <rFont val="Verdana"/>
        <family val="2"/>
      </rPr>
      <t>DERNIÈRE MESURE DISPONIBLE (SVaR</t>
    </r>
    <r>
      <rPr>
        <b/>
        <vertAlign val="subscript"/>
        <sz val="10"/>
        <color rgb="FF000000"/>
        <rFont val="Verdana"/>
        <family val="2"/>
      </rPr>
      <t>t-1</t>
    </r>
    <r>
      <rPr>
        <b/>
        <sz val="10"/>
        <color theme="1"/>
        <rFont val="Verdana"/>
        <family val="2"/>
      </rPr>
      <t>)</t>
    </r>
  </si>
  <si>
    <r>
      <rPr>
        <b/>
        <sz val="10"/>
        <rFont val="Verdana"/>
        <family val="2"/>
      </rPr>
      <t>Nombre de contreparties</t>
    </r>
  </si>
  <si>
    <r>
      <rPr>
        <b/>
        <sz val="10"/>
        <rFont val="Verdana"/>
        <family val="2"/>
      </rPr>
      <t xml:space="preserve">dont: une approximation est utilisée pour déterminer l’écart de crédit </t>
    </r>
  </si>
  <si>
    <r>
      <rPr>
        <b/>
        <sz val="10"/>
        <rFont val="Verdana"/>
        <family val="2"/>
      </rPr>
      <t>CVA EFFECTUÉ</t>
    </r>
  </si>
  <si>
    <r>
      <rPr>
        <b/>
        <sz val="10"/>
        <rFont val="Verdana"/>
        <family val="2"/>
      </rPr>
      <t>CDS À SIGNATURE UNIQUE</t>
    </r>
  </si>
  <si>
    <r>
      <rPr>
        <b/>
        <sz val="10"/>
        <rFont val="Verdana"/>
        <family val="2"/>
      </rPr>
      <t>CDS INDICIEL</t>
    </r>
  </si>
  <si>
    <r>
      <rPr>
        <sz val="10"/>
        <rFont val="Verdana"/>
        <family val="2"/>
      </rPr>
      <t>010</t>
    </r>
  </si>
  <si>
    <r>
      <rPr>
        <sz val="10"/>
        <rFont val="Verdana"/>
        <family val="2"/>
      </rPr>
      <t>020</t>
    </r>
  </si>
  <si>
    <r>
      <rPr>
        <sz val="10"/>
        <rFont val="Verdana"/>
        <family val="2"/>
      </rPr>
      <t>030</t>
    </r>
  </si>
  <si>
    <r>
      <rPr>
        <sz val="10"/>
        <rFont val="Verdana"/>
        <family val="2"/>
      </rPr>
      <t>040</t>
    </r>
  </si>
  <si>
    <r>
      <rPr>
        <sz val="10"/>
        <rFont val="Verdana"/>
        <family val="2"/>
      </rPr>
      <t>050</t>
    </r>
  </si>
  <si>
    <r>
      <rPr>
        <sz val="10"/>
        <rFont val="Verdana"/>
        <family val="2"/>
      </rPr>
      <t>060</t>
    </r>
  </si>
  <si>
    <r>
      <rPr>
        <sz val="10"/>
        <rFont val="Verdana"/>
        <family val="2"/>
      </rPr>
      <t>070</t>
    </r>
  </si>
  <si>
    <r>
      <rPr>
        <sz val="10"/>
        <rFont val="Verdana"/>
        <family val="2"/>
      </rPr>
      <t xml:space="preserve">080
</t>
    </r>
  </si>
  <si>
    <r>
      <rPr>
        <sz val="10"/>
        <rFont val="Verdana"/>
        <family val="2"/>
      </rPr>
      <t>090</t>
    </r>
  </si>
  <si>
    <r>
      <rPr>
        <sz val="10"/>
        <rFont val="Verdana"/>
        <family val="2"/>
      </rPr>
      <t>100</t>
    </r>
  </si>
  <si>
    <r>
      <rPr>
        <sz val="10"/>
        <rFont val="Verdana"/>
        <family val="2"/>
      </rPr>
      <t>010</t>
    </r>
  </si>
  <si>
    <r>
      <rPr>
        <b/>
        <sz val="10"/>
        <rFont val="Verdana"/>
        <family val="2"/>
      </rPr>
      <t>Total risque de CVA</t>
    </r>
  </si>
  <si>
    <r>
      <rPr>
        <sz val="10"/>
        <rFont val="Verdana"/>
        <family val="2"/>
      </rPr>
      <t>Lien vers {CA2;r640;c010}</t>
    </r>
  </si>
  <si>
    <r>
      <rPr>
        <sz val="10"/>
        <rFont val="Verdana"/>
        <family val="2"/>
      </rPr>
      <t>020</t>
    </r>
  </si>
  <si>
    <r>
      <rPr>
        <b/>
        <sz val="10"/>
        <rFont val="Verdana"/>
        <family val="2"/>
      </rPr>
      <t>D’après la méthode avancée</t>
    </r>
  </si>
  <si>
    <r>
      <rPr>
        <sz val="10"/>
        <rFont val="Verdana"/>
        <family val="2"/>
      </rPr>
      <t>Lien vers {CA2;r650;c010}</t>
    </r>
  </si>
  <si>
    <r>
      <rPr>
        <sz val="10"/>
        <rFont val="Verdana"/>
        <family val="2"/>
      </rPr>
      <t>030</t>
    </r>
  </si>
  <si>
    <r>
      <rPr>
        <b/>
        <sz val="10"/>
        <rFont val="Verdana"/>
        <family val="2"/>
      </rPr>
      <t>D’après la méthode standard</t>
    </r>
  </si>
  <si>
    <r>
      <rPr>
        <sz val="10"/>
        <rFont val="Verdana"/>
        <family val="2"/>
      </rPr>
      <t>Lien vers {CA2;r660;c010}</t>
    </r>
  </si>
  <si>
    <r>
      <rPr>
        <sz val="10"/>
        <rFont val="Verdana"/>
        <family val="2"/>
      </rPr>
      <t>040</t>
    </r>
  </si>
  <si>
    <r>
      <rPr>
        <b/>
        <sz val="10"/>
        <rFont val="Verdana"/>
        <family val="2"/>
      </rPr>
      <t>Méthode de l'exposition initiale</t>
    </r>
  </si>
  <si>
    <r>
      <rPr>
        <sz val="10"/>
        <rFont val="Verdana"/>
        <family val="2"/>
      </rPr>
      <t>Lien vers {CA2;r670;c010}</t>
    </r>
  </si>
  <si>
    <r>
      <rPr>
        <b/>
        <sz val="8"/>
        <rFont val="Verdana"/>
        <family val="2"/>
      </rPr>
      <t xml:space="preserve">Pays: </t>
    </r>
  </si>
  <si>
    <r>
      <rPr>
        <b/>
        <sz val="9"/>
        <rFont val="Verdana"/>
        <family val="2"/>
      </rPr>
      <t>Expositions directes</t>
    </r>
  </si>
  <si>
    <r>
      <rPr>
        <b/>
        <sz val="9"/>
        <rFont val="Verdana"/>
        <family val="2"/>
      </rPr>
      <t>Pour mémoire: dérivés de crédit vendus sur des expositions sur des administrations publiques</t>
    </r>
  </si>
  <si>
    <r>
      <rPr>
        <b/>
        <sz val="9"/>
        <rFont val="Verdana"/>
        <family val="2"/>
      </rPr>
      <t>Valeur exposée au risque</t>
    </r>
  </si>
  <si>
    <r>
      <rPr>
        <b/>
        <sz val="9"/>
        <rFont val="Verdana"/>
        <family val="2"/>
      </rPr>
      <t xml:space="preserve">Montant d'exposition pondéré </t>
    </r>
  </si>
  <si>
    <r>
      <rPr>
        <b/>
        <sz val="9"/>
        <rFont val="Verdana"/>
        <family val="2"/>
      </rPr>
      <t>Expositions au bilan</t>
    </r>
  </si>
  <si>
    <r>
      <rPr>
        <b/>
        <sz val="9"/>
        <rFont val="Verdana"/>
        <family val="2"/>
      </rPr>
      <t>Dépréciation cumulée</t>
    </r>
  </si>
  <si>
    <r>
      <rPr>
        <b/>
        <sz val="9"/>
        <rFont val="Verdana"/>
        <family val="2"/>
      </rPr>
      <t>Variations négatives cumulées de la juste valeur dues au risque de crédit</t>
    </r>
  </si>
  <si>
    <r>
      <rPr>
        <b/>
        <sz val="9"/>
        <rFont val="Verdana"/>
        <family val="2"/>
      </rPr>
      <t>Dérivés</t>
    </r>
  </si>
  <si>
    <r>
      <rPr>
        <b/>
        <sz val="9"/>
        <rFont val="Verdana"/>
        <family val="2"/>
      </rPr>
      <t>Expositions hors bilan</t>
    </r>
  </si>
  <si>
    <r>
      <rPr>
        <b/>
        <sz val="9"/>
        <rFont val="Verdana"/>
        <family val="2"/>
      </rPr>
      <t>Valeur comptable brute totale des actifs financiers non dérivés</t>
    </r>
  </si>
  <si>
    <r>
      <rPr>
        <b/>
        <sz val="9"/>
        <rFont val="Verdana"/>
        <family val="2"/>
      </rPr>
      <t>Valeur comptable totale des actifs financiers non dérivés (nette des positions courtes)</t>
    </r>
  </si>
  <si>
    <r>
      <rPr>
        <b/>
        <sz val="9"/>
        <rFont val="Verdana"/>
        <family val="2"/>
      </rPr>
      <t>Actifs financiers non dérivés par portefeuille comptable</t>
    </r>
  </si>
  <si>
    <r>
      <rPr>
        <b/>
        <sz val="9"/>
        <rFont val="Verdana"/>
        <family val="2"/>
      </rPr>
      <t xml:space="preserve">Positions courtes
</t>
    </r>
  </si>
  <si>
    <r>
      <rPr>
        <b/>
        <sz val="9"/>
        <rFont val="Verdana"/>
        <family val="2"/>
      </rPr>
      <t>Dérivés ayant une juste valeur positive</t>
    </r>
  </si>
  <si>
    <r>
      <rPr>
        <b/>
        <sz val="9"/>
        <rFont val="Verdana"/>
        <family val="2"/>
      </rPr>
      <t>Dérivés ayant une juste valeur négative</t>
    </r>
  </si>
  <si>
    <r>
      <rPr>
        <b/>
        <sz val="9"/>
        <rFont val="Verdana"/>
        <family val="2"/>
      </rPr>
      <t>Montant nominal</t>
    </r>
  </si>
  <si>
    <r>
      <rPr>
        <b/>
        <sz val="9"/>
        <rFont val="Verdana"/>
        <family val="2"/>
      </rPr>
      <t>Provisions</t>
    </r>
  </si>
  <si>
    <r>
      <rPr>
        <b/>
        <sz val="9"/>
        <rFont val="Verdana"/>
        <family val="2"/>
      </rPr>
      <t xml:space="preserve">Variations négatives cumulées de la juste valeur dues au risque de crédit </t>
    </r>
  </si>
  <si>
    <r>
      <rPr>
        <b/>
        <sz val="9"/>
        <rFont val="Verdana"/>
        <family val="2"/>
      </rPr>
      <t>Dérivés ayant une juste valeur positive - Valeur comptable</t>
    </r>
  </si>
  <si>
    <r>
      <rPr>
        <b/>
        <sz val="9"/>
        <rFont val="Verdana"/>
        <family val="2"/>
      </rPr>
      <t>Dérivés ayant une juste valeur négative - Valeur comptable</t>
    </r>
  </si>
  <si>
    <r>
      <rPr>
        <b/>
        <sz val="9"/>
        <rFont val="Verdana"/>
        <family val="2"/>
      </rPr>
      <t>Actifs financiers détenus à des fins de négociation</t>
    </r>
  </si>
  <si>
    <r>
      <rPr>
        <b/>
        <sz val="9"/>
        <rFont val="Verdana"/>
        <family val="2"/>
      </rPr>
      <t>Actifs financiers de négociation</t>
    </r>
  </si>
  <si>
    <r>
      <rPr>
        <b/>
        <sz val="9"/>
        <rFont val="Verdana"/>
        <family val="2"/>
      </rPr>
      <t>Actifs financiers détenus à des fins autres que de négociation obligatoirement évalués à la juste valeur par le biais du compte de résultat</t>
    </r>
  </si>
  <si>
    <r>
      <rPr>
        <b/>
        <sz val="9"/>
        <rFont val="Verdana"/>
        <family val="2"/>
      </rPr>
      <t>Actifs financiers désignés comme évalués à la juste valeur par le biais du compte de résultat</t>
    </r>
  </si>
  <si>
    <r>
      <rPr>
        <b/>
        <sz val="9"/>
        <rFont val="Verdana"/>
        <family val="2"/>
      </rPr>
      <t>Actifs financiers non dérivés détenus à des fins autres que de négociation évalués à la juste valeur par le biais du compte de résultat</t>
    </r>
  </si>
  <si>
    <r>
      <rPr>
        <b/>
        <sz val="9"/>
        <rFont val="Verdana"/>
        <family val="2"/>
      </rPr>
      <t>Actifs financiers évalués à la juste valeur par le biais des autres éléments du résultat global</t>
    </r>
  </si>
  <si>
    <r>
      <rPr>
        <b/>
        <sz val="9"/>
        <rFont val="Verdana"/>
        <family val="2"/>
      </rPr>
      <t>Actifs financiers non dérivés détenus à des fins autres que de négociation évalués à la juste valeur en capitaux propres</t>
    </r>
  </si>
  <si>
    <r>
      <rPr>
        <b/>
        <sz val="9"/>
        <rFont val="Verdana"/>
        <family val="2"/>
      </rPr>
      <t>Actifs financiers au coût amorti</t>
    </r>
  </si>
  <si>
    <r>
      <rPr>
        <b/>
        <sz val="9"/>
        <rFont val="Verdana"/>
        <family val="2"/>
      </rPr>
      <t>Actifs financiers non dérivés détenus à des fins autres que de négociation évalués au coût</t>
    </r>
  </si>
  <si>
    <r>
      <rPr>
        <b/>
        <sz val="9"/>
        <rFont val="Verdana"/>
        <family val="2"/>
      </rPr>
      <t>Autres actifs financiers non dérivés détenus à des fins autres que de négociation</t>
    </r>
  </si>
  <si>
    <r>
      <rPr>
        <b/>
        <sz val="9"/>
        <rFont val="Verdana"/>
        <family val="2"/>
      </rPr>
      <t>Dont: Positions courtes de prises en pension classées comme détenues à des fins de négociation ou comme actifs financiers de négociation</t>
    </r>
  </si>
  <si>
    <r>
      <rPr>
        <b/>
        <sz val="9"/>
        <rFont val="Verdana"/>
        <family val="2"/>
      </rPr>
      <t>dont: d’actifs financiers évalués à la juste valeur par le biais des autres éléments du résultat global ou d’actifs financiers non dérivés détenus à des fins autres que de négociation évalués à la juste valeur en capitaux propres</t>
    </r>
  </si>
  <si>
    <r>
      <rPr>
        <b/>
        <sz val="9"/>
        <rFont val="Verdana"/>
        <family val="2"/>
      </rPr>
      <t>dont: d’actifs financiers détenus à des fins autres que de négociation obligatoirement évalués à la juste valeur par le biais du compte de résultat, d’actifs financiers désignés comme évalués à la juste valeur par le biais du compte de résultat ou d’actifs financiers détenus à des fins autres que de négociation évalués à la juste valeur par le biais du compte de résultat</t>
    </r>
  </si>
  <si>
    <r>
      <rPr>
        <b/>
        <sz val="9"/>
        <rFont val="Verdana"/>
        <family val="2"/>
      </rPr>
      <t>dont: d’actifs financiers évalués à la juste valeur par le biais des autres éléments du résultat global ou d’actifs financiers non dérivés détenus à des fins autres que de négociation évalués à la juste valeur en capitaux propres</t>
    </r>
  </si>
  <si>
    <r>
      <rPr>
        <b/>
        <sz val="9"/>
        <rFont val="Verdana"/>
        <family val="2"/>
      </rPr>
      <t xml:space="preserve">Valeur comptable </t>
    </r>
  </si>
  <si>
    <r>
      <rPr>
        <b/>
        <sz val="9"/>
        <rFont val="Verdana"/>
        <family val="2"/>
      </rPr>
      <t>Montant notionnel</t>
    </r>
  </si>
  <si>
    <r>
      <rPr>
        <b/>
        <sz val="9"/>
        <rFont val="Verdana"/>
        <family val="2"/>
      </rPr>
      <t xml:space="preserve">Valeur comptable </t>
    </r>
  </si>
  <si>
    <r>
      <rPr>
        <b/>
        <sz val="9"/>
        <rFont val="Verdana"/>
        <family val="2"/>
      </rPr>
      <t>Montant notionnel</t>
    </r>
  </si>
  <si>
    <r>
      <rPr>
        <sz val="8"/>
        <rFont val="Verdana"/>
        <family val="2"/>
      </rPr>
      <t>010</t>
    </r>
  </si>
  <si>
    <r>
      <rPr>
        <sz val="8"/>
        <rFont val="Verdana"/>
        <family val="2"/>
      </rPr>
      <t>020</t>
    </r>
  </si>
  <si>
    <r>
      <rPr>
        <sz val="8"/>
        <rFont val="Verdana"/>
        <family val="2"/>
      </rPr>
      <t>030</t>
    </r>
  </si>
  <si>
    <r>
      <rPr>
        <sz val="8"/>
        <rFont val="Verdana"/>
        <family val="2"/>
      </rPr>
      <t>040</t>
    </r>
  </si>
  <si>
    <r>
      <rPr>
        <sz val="8"/>
        <rFont val="Verdana"/>
        <family val="2"/>
      </rPr>
      <t>050</t>
    </r>
  </si>
  <si>
    <r>
      <rPr>
        <sz val="8"/>
        <rFont val="Verdana"/>
        <family val="2"/>
      </rPr>
      <t>060</t>
    </r>
  </si>
  <si>
    <r>
      <rPr>
        <sz val="8"/>
        <rFont val="Verdana"/>
        <family val="2"/>
      </rPr>
      <t>070</t>
    </r>
  </si>
  <si>
    <r>
      <rPr>
        <sz val="8"/>
        <rFont val="Verdana"/>
        <family val="2"/>
      </rPr>
      <t>080</t>
    </r>
  </si>
  <si>
    <r>
      <rPr>
        <sz val="8"/>
        <rFont val="Verdana"/>
        <family val="2"/>
      </rPr>
      <t>090</t>
    </r>
  </si>
  <si>
    <r>
      <rPr>
        <sz val="8"/>
        <rFont val="Verdana"/>
        <family val="2"/>
      </rPr>
      <t>100</t>
    </r>
  </si>
  <si>
    <r>
      <rPr>
        <sz val="8"/>
        <rFont val="Verdana"/>
        <family val="2"/>
      </rPr>
      <t>110</t>
    </r>
  </si>
  <si>
    <r>
      <rPr>
        <sz val="8"/>
        <rFont val="Verdana"/>
        <family val="2"/>
      </rPr>
      <t>120</t>
    </r>
  </si>
  <si>
    <r>
      <rPr>
        <sz val="8"/>
        <rFont val="Verdana"/>
        <family val="2"/>
      </rPr>
      <t>130</t>
    </r>
  </si>
  <si>
    <r>
      <rPr>
        <sz val="8"/>
        <rFont val="Verdana"/>
        <family val="2"/>
      </rPr>
      <t>140</t>
    </r>
  </si>
  <si>
    <r>
      <rPr>
        <sz val="8"/>
        <rFont val="Verdana"/>
        <family val="2"/>
      </rPr>
      <t>010</t>
    </r>
  </si>
  <si>
    <r>
      <rPr>
        <sz val="9"/>
        <rFont val="Verdana"/>
        <family val="2"/>
      </rPr>
      <t>Total des expositions</t>
    </r>
  </si>
  <si>
    <r>
      <rPr>
        <b/>
        <sz val="9"/>
        <rFont val="Verdana"/>
        <family val="2"/>
      </rPr>
      <t>RÉPARTITION DU TOTAL DES EXPOSITIONS PAR RISQUE, APPROCHE RÉGLEMENTAIRE ET CATÉGORIE D’EXPOSITIONS:</t>
    </r>
  </si>
  <si>
    <r>
      <rPr>
        <sz val="8"/>
        <rFont val="Verdana"/>
        <family val="2"/>
      </rPr>
      <t>020</t>
    </r>
  </si>
  <si>
    <r>
      <rPr>
        <sz val="9"/>
        <rFont val="Verdana"/>
        <family val="2"/>
      </rPr>
      <t>Expositions selon le cadre relatif au risque de crédit</t>
    </r>
  </si>
  <si>
    <r>
      <rPr>
        <sz val="8"/>
        <rFont val="Verdana"/>
        <family val="2"/>
      </rPr>
      <t>030</t>
    </r>
  </si>
  <si>
    <r>
      <rPr>
        <sz val="9"/>
        <rFont val="Verdana"/>
        <family val="2"/>
      </rPr>
      <t>Approche standard</t>
    </r>
  </si>
  <si>
    <r>
      <rPr>
        <sz val="8"/>
        <rFont val="Verdana"/>
        <family val="2"/>
      </rPr>
      <t>040</t>
    </r>
  </si>
  <si>
    <r>
      <rPr>
        <sz val="9"/>
        <rFont val="Verdana"/>
        <family val="2"/>
      </rPr>
      <t>Administrations centrales</t>
    </r>
  </si>
  <si>
    <r>
      <rPr>
        <sz val="8"/>
        <rFont val="Verdana"/>
        <family val="2"/>
      </rPr>
      <t>050</t>
    </r>
  </si>
  <si>
    <r>
      <rPr>
        <sz val="9"/>
        <rFont val="Verdana"/>
        <family val="2"/>
      </rPr>
      <t xml:space="preserve">Administrations régionales ou locales </t>
    </r>
  </si>
  <si>
    <r>
      <rPr>
        <sz val="8"/>
        <rFont val="Verdana"/>
        <family val="2"/>
      </rPr>
      <t>060</t>
    </r>
  </si>
  <si>
    <r>
      <rPr>
        <sz val="9"/>
        <rFont val="Verdana"/>
        <family val="2"/>
      </rPr>
      <t>Entités du secteur public</t>
    </r>
  </si>
  <si>
    <r>
      <rPr>
        <sz val="8"/>
        <rFont val="Verdana"/>
        <family val="2"/>
      </rPr>
      <t>070</t>
    </r>
  </si>
  <si>
    <r>
      <rPr>
        <sz val="9"/>
        <rFont val="Verdana"/>
        <family val="2"/>
      </rPr>
      <t>Organisations internationales</t>
    </r>
  </si>
  <si>
    <r>
      <rPr>
        <sz val="8"/>
        <rFont val="Verdana"/>
        <family val="2"/>
      </rPr>
      <t>080</t>
    </r>
  </si>
  <si>
    <r>
      <rPr>
        <sz val="9"/>
        <rFont val="Verdana"/>
        <family val="2"/>
      </rPr>
      <t>Approche NI</t>
    </r>
  </si>
  <si>
    <r>
      <rPr>
        <sz val="8"/>
        <rFont val="Verdana"/>
        <family val="2"/>
      </rPr>
      <t>090</t>
    </r>
  </si>
  <si>
    <r>
      <rPr>
        <sz val="9"/>
        <rFont val="Verdana"/>
        <family val="2"/>
      </rPr>
      <t>Administrations centrales</t>
    </r>
  </si>
  <si>
    <r>
      <rPr>
        <sz val="8"/>
        <rFont val="Verdana"/>
        <family val="2"/>
      </rPr>
      <t>100</t>
    </r>
  </si>
  <si>
    <r>
      <rPr>
        <sz val="9"/>
        <rFont val="Verdana"/>
        <family val="2"/>
      </rPr>
      <t>Administrations régionales ou locales [Administrations centrales]</t>
    </r>
  </si>
  <si>
    <r>
      <rPr>
        <sz val="8"/>
        <rFont val="Verdana"/>
        <family val="2"/>
      </rPr>
      <t>110</t>
    </r>
  </si>
  <si>
    <r>
      <rPr>
        <sz val="9"/>
        <rFont val="Verdana"/>
        <family val="2"/>
      </rPr>
      <t>Administrations régionales ou locales [Établissements]</t>
    </r>
  </si>
  <si>
    <r>
      <rPr>
        <sz val="8"/>
        <rFont val="Verdana"/>
        <family val="2"/>
      </rPr>
      <t>120</t>
    </r>
  </si>
  <si>
    <r>
      <rPr>
        <sz val="9"/>
        <rFont val="Verdana"/>
        <family val="2"/>
      </rPr>
      <t>Entités du secteur public [Administrations centrales]</t>
    </r>
  </si>
  <si>
    <r>
      <rPr>
        <sz val="8"/>
        <rFont val="Verdana"/>
        <family val="2"/>
      </rPr>
      <t>130</t>
    </r>
  </si>
  <si>
    <r>
      <rPr>
        <sz val="9"/>
        <rFont val="Verdana"/>
        <family val="2"/>
      </rPr>
      <t>Entités du secteur public [Établissements]</t>
    </r>
  </si>
  <si>
    <r>
      <rPr>
        <sz val="8"/>
        <rFont val="Verdana"/>
        <family val="2"/>
      </rPr>
      <t>140</t>
    </r>
  </si>
  <si>
    <r>
      <rPr>
        <sz val="9"/>
        <rFont val="Verdana"/>
        <family val="2"/>
      </rPr>
      <t>Organisations internationales [Administrations centrales]</t>
    </r>
  </si>
  <si>
    <r>
      <rPr>
        <sz val="8"/>
        <rFont val="Verdana"/>
        <family val="2"/>
      </rPr>
      <t>150</t>
    </r>
  </si>
  <si>
    <r>
      <rPr>
        <sz val="9"/>
        <rFont val="Verdana"/>
        <family val="2"/>
      </rPr>
      <t>Organisations internationales [Établissements]</t>
    </r>
  </si>
  <si>
    <r>
      <rPr>
        <sz val="8"/>
        <rFont val="Verdana"/>
        <family val="2"/>
      </rPr>
      <t>160</t>
    </r>
  </si>
  <si>
    <r>
      <rPr>
        <sz val="9"/>
        <rFont val="Verdana"/>
        <family val="2"/>
      </rPr>
      <t>Expositions selon le cadre relatif au risque de marché</t>
    </r>
  </si>
  <si>
    <r>
      <rPr>
        <b/>
        <sz val="9"/>
        <rFont val="Verdana"/>
        <family val="2"/>
      </rPr>
      <t>RÉPARTITION DU TOTAL DES EXPOSITIONS PAR ÉCHÉANCE RÉSIDUELLE:</t>
    </r>
  </si>
  <si>
    <r>
      <rPr>
        <sz val="9"/>
        <rFont val="Verdana"/>
        <family val="2"/>
      </rPr>
      <t>[ 0 - 3M [</t>
    </r>
  </si>
  <si>
    <r>
      <rPr>
        <sz val="9"/>
        <rFont val="Verdana"/>
        <family val="2"/>
      </rPr>
      <t>[ 3M - 1A [</t>
    </r>
  </si>
  <si>
    <r>
      <rPr>
        <sz val="9"/>
        <rFont val="Verdana"/>
        <family val="2"/>
      </rPr>
      <t>[ 1A - 2A [</t>
    </r>
  </si>
  <si>
    <r>
      <rPr>
        <sz val="9"/>
        <rFont val="Verdana"/>
        <family val="2"/>
      </rPr>
      <t>[ 2A - 3A [</t>
    </r>
  </si>
  <si>
    <r>
      <rPr>
        <sz val="9"/>
        <rFont val="Verdana"/>
        <family val="2"/>
      </rPr>
      <t>[3A - 5A [</t>
    </r>
  </si>
  <si>
    <r>
      <rPr>
        <sz val="9"/>
        <rFont val="Verdana"/>
        <family val="2"/>
      </rPr>
      <t>[5A - 10A [</t>
    </r>
  </si>
  <si>
    <r>
      <rPr>
        <sz val="9"/>
        <rFont val="Verdana"/>
        <family val="2"/>
      </rPr>
      <t>[10A – plus</t>
    </r>
  </si>
  <si>
    <t>Filtres et déductions supplémentaires</t>
  </si>
  <si>
    <t>C 33.00 - EXPOSITIONS SUR DES ADMINISTRATIONS PUBLIQUES PAR PAYS DE LA CONTREPARTIE (GOV)</t>
  </si>
  <si>
    <t>EXPOSITIONS SUR DES ADMINISTRATIONS PUBLIQUES PAR PAYS DE LA CONTREPARTIE</t>
  </si>
  <si>
    <t>C 33.00</t>
  </si>
  <si>
    <t>GOV</t>
  </si>
  <si>
    <t>Ajustements transitoires relatifs aux instruments de capital CET1 bénéficiant d’une clause d’antériorité</t>
  </si>
  <si>
    <t>EN APPROCHE STANDARD DE REMPLACEMENT (ASA):</t>
  </si>
  <si>
    <t>EN APPROCHE STANDARD (TSA):</t>
  </si>
  <si>
    <t>Cellule liée à l'état CA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</si>
</sst>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_-* #,##0.00_-;\-* #,##0.00_-;_-* \-??_-;_-@_-"/>
    <numFmt numFmtId="165" formatCode="000"/>
  </numFmts>
  <fonts count="173" x14ac:knownFonts="1">
    <font>
      <sz val="11"/>
      <color theme="1"/>
      <name val="Calibri"/>
      <family val="2"/>
      <scheme val="minor"/>
    </font>
    <font>
      <sz val="11"/>
      <color indexed="8"/>
      <name val="Calibri"/>
      <family val="2"/>
    </font>
    <font>
      <sz val="11"/>
      <color indexed="8"/>
      <name val="Calibri"/>
      <family val="2"/>
    </font>
    <font>
      <sz val="11"/>
      <color indexed="8"/>
      <name val="Calibri"/>
      <family val="2"/>
    </font>
    <font>
      <sz val="10"/>
      <name val="Arial"/>
      <family val="2"/>
    </font>
    <font>
      <b/>
      <sz val="11"/>
      <name val="Verdana"/>
      <family val="2"/>
    </font>
    <font>
      <sz val="11"/>
      <color indexed="8"/>
      <name val="Verdana"/>
      <family val="2"/>
    </font>
    <font>
      <b/>
      <sz val="11"/>
      <color indexed="8"/>
      <name val="Verdana"/>
      <family val="2"/>
    </font>
    <font>
      <sz val="11"/>
      <name val="Verdana"/>
      <family val="2"/>
    </font>
    <font>
      <sz val="11"/>
      <color indexed="8"/>
      <name val="Calibri"/>
      <family val="2"/>
    </font>
    <font>
      <u/>
      <sz val="6.5"/>
      <color indexed="12"/>
      <name val="Arial"/>
      <family val="2"/>
    </font>
    <font>
      <u/>
      <sz val="10"/>
      <color indexed="12"/>
      <name val="Arial"/>
      <family val="2"/>
    </font>
    <font>
      <sz val="11"/>
      <color indexed="8"/>
      <name val="Calibri"/>
      <family val="2"/>
    </font>
    <font>
      <sz val="10"/>
      <color indexed="8"/>
      <name val="Arial"/>
      <family val="2"/>
    </font>
    <font>
      <sz val="11"/>
      <color indexed="9"/>
      <name val="Calibri"/>
      <family val="2"/>
    </font>
    <font>
      <sz val="11"/>
      <color indexed="62"/>
      <name val="Calibri"/>
      <family val="2"/>
    </font>
    <font>
      <b/>
      <sz val="10"/>
      <color indexed="5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i/>
      <sz val="10"/>
      <color indexed="23"/>
      <name val="Arial"/>
      <family val="2"/>
    </font>
    <font>
      <sz val="11"/>
      <color indexed="10"/>
      <name val="Calibri"/>
      <family val="2"/>
    </font>
    <font>
      <sz val="11"/>
      <color indexed="52"/>
      <name val="Calibri"/>
      <family val="2"/>
    </font>
    <font>
      <sz val="10"/>
      <color indexed="62"/>
      <name val="Arial"/>
      <family val="2"/>
    </font>
    <font>
      <sz val="11"/>
      <color indexed="17"/>
      <name val="Calibri"/>
      <family val="2"/>
    </font>
    <font>
      <b/>
      <sz val="11"/>
      <color indexed="63"/>
      <name val="Calibri"/>
      <family val="2"/>
    </font>
    <font>
      <i/>
      <sz val="11"/>
      <color indexed="23"/>
      <name val="Calibri"/>
      <family val="2"/>
    </font>
    <font>
      <b/>
      <sz val="11"/>
      <color indexed="8"/>
      <name val="Calibri"/>
      <family val="2"/>
    </font>
    <font>
      <b/>
      <sz val="10"/>
      <color indexed="63"/>
      <name val="Arial"/>
      <family val="2"/>
    </font>
    <font>
      <sz val="11"/>
      <color indexed="20"/>
      <name val="Calibri"/>
      <family val="2"/>
    </font>
    <font>
      <sz val="11"/>
      <color indexed="60"/>
      <name val="Calibri"/>
      <family val="2"/>
    </font>
    <font>
      <b/>
      <sz val="11"/>
      <color indexed="52"/>
      <name val="Calibri"/>
      <family val="2"/>
    </font>
    <font>
      <sz val="10"/>
      <color indexed="10"/>
      <name val="Arial"/>
      <family val="2"/>
    </font>
    <font>
      <sz val="9"/>
      <color indexed="8"/>
      <name val="Verdana"/>
      <family val="2"/>
    </font>
    <font>
      <sz val="8"/>
      <color indexed="8"/>
      <name val="Verdana"/>
      <family val="2"/>
    </font>
    <font>
      <sz val="9"/>
      <name val="Verdana"/>
      <family val="2"/>
    </font>
    <font>
      <b/>
      <i/>
      <sz val="11"/>
      <name val="Verdana"/>
      <family val="2"/>
    </font>
    <font>
      <b/>
      <i/>
      <strike/>
      <sz val="11"/>
      <name val="Verdana"/>
      <family val="2"/>
    </font>
    <font>
      <sz val="11"/>
      <color indexed="10"/>
      <name val="Verdana"/>
      <family val="2"/>
    </font>
    <font>
      <b/>
      <u/>
      <sz val="11"/>
      <name val="Verdana"/>
      <family val="2"/>
    </font>
    <font>
      <sz val="10"/>
      <color indexed="9"/>
      <name val="Arial"/>
      <family val="2"/>
    </font>
    <font>
      <sz val="10"/>
      <color indexed="20"/>
      <name val="Arial"/>
      <family val="2"/>
    </font>
    <font>
      <b/>
      <sz val="10"/>
      <color indexed="9"/>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60"/>
      <name val="Arial"/>
      <family val="2"/>
    </font>
    <font>
      <b/>
      <sz val="10"/>
      <color indexed="8"/>
      <name val="Arial"/>
      <family val="2"/>
    </font>
    <font>
      <sz val="10"/>
      <name val="Arial"/>
      <family val="2"/>
    </font>
    <font>
      <sz val="8"/>
      <name val="Verdana"/>
      <family val="2"/>
    </font>
    <font>
      <strike/>
      <sz val="11"/>
      <name val="Verdana"/>
      <family val="2"/>
    </font>
    <font>
      <i/>
      <sz val="11"/>
      <name val="Verdana"/>
      <family val="2"/>
    </font>
    <font>
      <sz val="10"/>
      <name val="Verdana"/>
      <family val="2"/>
    </font>
    <font>
      <b/>
      <sz val="14"/>
      <name val="Verdana"/>
      <family val="2"/>
    </font>
    <font>
      <b/>
      <sz val="14"/>
      <color indexed="8"/>
      <name val="Verdana"/>
      <family val="2"/>
    </font>
    <font>
      <b/>
      <u/>
      <sz val="16"/>
      <color indexed="12"/>
      <name val="Verdana"/>
      <family val="2"/>
    </font>
    <font>
      <b/>
      <sz val="16"/>
      <name val="Verdana"/>
      <family val="2"/>
    </font>
    <font>
      <sz val="14"/>
      <name val="Verdana"/>
      <family val="2"/>
    </font>
    <font>
      <b/>
      <sz val="36"/>
      <name val="Verdana"/>
      <family val="2"/>
    </font>
    <font>
      <b/>
      <sz val="28"/>
      <name val="Verdana"/>
      <family val="2"/>
    </font>
    <font>
      <b/>
      <sz val="32"/>
      <name val="Verdana"/>
      <family val="2"/>
    </font>
    <font>
      <b/>
      <sz val="20"/>
      <name val="Verdana"/>
      <family val="2"/>
    </font>
    <font>
      <sz val="24"/>
      <name val="Verdana"/>
      <family val="2"/>
    </font>
    <font>
      <sz val="12"/>
      <name val="Verdana"/>
      <family val="2"/>
    </font>
    <font>
      <b/>
      <sz val="22"/>
      <name val="Verdana"/>
      <family val="2"/>
    </font>
    <font>
      <b/>
      <sz val="26"/>
      <name val="Verdana"/>
      <family val="2"/>
    </font>
    <font>
      <sz val="16"/>
      <name val="Verdana"/>
      <family val="2"/>
    </font>
    <font>
      <sz val="22"/>
      <name val="Verdana"/>
      <family val="2"/>
    </font>
    <font>
      <sz val="26"/>
      <name val="Verdana"/>
      <family val="2"/>
    </font>
    <font>
      <sz val="18"/>
      <name val="Verdana"/>
      <family val="2"/>
    </font>
    <font>
      <strike/>
      <sz val="10"/>
      <name val="Verdana"/>
      <family val="2"/>
    </font>
    <font>
      <b/>
      <sz val="10"/>
      <name val="Verdana"/>
      <family val="2"/>
    </font>
    <font>
      <sz val="20"/>
      <name val="Verdana"/>
      <family val="2"/>
    </font>
    <font>
      <b/>
      <sz val="18"/>
      <name val="Verdana"/>
      <family val="2"/>
    </font>
    <font>
      <b/>
      <sz val="8"/>
      <name val="Verdana"/>
      <family val="2"/>
    </font>
    <font>
      <u/>
      <sz val="8"/>
      <name val="Verdana"/>
      <family val="2"/>
    </font>
    <font>
      <b/>
      <u/>
      <sz val="8"/>
      <name val="Verdana"/>
      <family val="2"/>
    </font>
    <font>
      <strike/>
      <sz val="8"/>
      <name val="Verdana"/>
      <family val="2"/>
    </font>
    <font>
      <b/>
      <sz val="14"/>
      <color indexed="10"/>
      <name val="Verdana"/>
      <family val="2"/>
    </font>
    <font>
      <b/>
      <sz val="12"/>
      <name val="Verdana"/>
      <family val="2"/>
    </font>
    <font>
      <sz val="12"/>
      <color indexed="10"/>
      <name val="Verdana"/>
      <family val="2"/>
    </font>
    <font>
      <strike/>
      <sz val="12"/>
      <name val="Verdana"/>
      <family val="2"/>
    </font>
    <font>
      <sz val="10"/>
      <color indexed="8"/>
      <name val="Verdana"/>
      <family val="2"/>
    </font>
    <font>
      <b/>
      <sz val="26"/>
      <color indexed="8"/>
      <name val="Verdana"/>
      <family val="2"/>
    </font>
    <font>
      <b/>
      <sz val="28"/>
      <color indexed="8"/>
      <name val="Verdana"/>
      <family val="2"/>
    </font>
    <font>
      <sz val="18"/>
      <color indexed="8"/>
      <name val="Verdana"/>
      <family val="2"/>
    </font>
    <font>
      <sz val="15"/>
      <color indexed="8"/>
      <name val="Verdana"/>
      <family val="2"/>
    </font>
    <font>
      <sz val="20"/>
      <color indexed="8"/>
      <name val="Verdana"/>
      <family val="2"/>
    </font>
    <font>
      <sz val="17"/>
      <name val="Verdana"/>
      <family val="2"/>
    </font>
    <font>
      <b/>
      <sz val="22"/>
      <color indexed="8"/>
      <name val="Verdana"/>
      <family val="2"/>
    </font>
    <font>
      <sz val="16"/>
      <color indexed="8"/>
      <name val="Verdana"/>
      <family val="2"/>
    </font>
    <font>
      <sz val="17"/>
      <color indexed="8"/>
      <name val="Verdana"/>
      <family val="2"/>
    </font>
    <font>
      <b/>
      <sz val="10"/>
      <color indexed="8"/>
      <name val="Verdana"/>
      <family val="2"/>
    </font>
    <font>
      <b/>
      <strike/>
      <sz val="14"/>
      <name val="Verdana"/>
      <family val="2"/>
    </font>
    <font>
      <b/>
      <u/>
      <sz val="12"/>
      <color indexed="12"/>
      <name val="Verdana"/>
      <family val="2"/>
    </font>
    <font>
      <b/>
      <u/>
      <sz val="10"/>
      <name val="Verdana"/>
      <family val="2"/>
    </font>
    <font>
      <sz val="10"/>
      <color indexed="10"/>
      <name val="Verdana"/>
      <family val="2"/>
    </font>
    <font>
      <b/>
      <sz val="36"/>
      <color indexed="8"/>
      <name val="Verdana"/>
      <family val="2"/>
    </font>
    <font>
      <b/>
      <strike/>
      <sz val="24"/>
      <color indexed="8"/>
      <name val="Verdana"/>
      <family val="2"/>
    </font>
    <font>
      <b/>
      <sz val="24"/>
      <color indexed="8"/>
      <name val="Verdana"/>
      <family val="2"/>
    </font>
    <font>
      <sz val="17"/>
      <color indexed="48"/>
      <name val="Verdana"/>
      <family val="2"/>
    </font>
    <font>
      <sz val="22"/>
      <color indexed="8"/>
      <name val="Verdana"/>
      <family val="2"/>
    </font>
    <font>
      <sz val="14"/>
      <color indexed="8"/>
      <name val="Verdana"/>
      <family val="2"/>
    </font>
    <font>
      <sz val="10"/>
      <color indexed="48"/>
      <name val="Verdana"/>
      <family val="2"/>
    </font>
    <font>
      <b/>
      <u/>
      <sz val="18"/>
      <color indexed="12"/>
      <name val="Verdana"/>
      <family val="2"/>
    </font>
    <font>
      <i/>
      <u/>
      <sz val="12"/>
      <name val="Verdana"/>
      <family val="2"/>
    </font>
    <font>
      <b/>
      <u/>
      <sz val="14"/>
      <color indexed="12"/>
      <name val="Verdana"/>
      <family val="2"/>
    </font>
    <font>
      <i/>
      <sz val="8"/>
      <name val="Verdana"/>
      <family val="2"/>
    </font>
    <font>
      <strike/>
      <sz val="9"/>
      <color indexed="8"/>
      <name val="Verdana"/>
      <family val="2"/>
    </font>
    <font>
      <b/>
      <sz val="9"/>
      <name val="Verdana"/>
      <family val="2"/>
    </font>
    <font>
      <b/>
      <sz val="9"/>
      <color indexed="8"/>
      <name val="Verdana"/>
      <family val="2"/>
    </font>
    <font>
      <b/>
      <i/>
      <sz val="10"/>
      <name val="Verdana"/>
      <family val="2"/>
    </font>
    <font>
      <b/>
      <sz val="18"/>
      <color indexed="8"/>
      <name val="Verdana"/>
      <family val="2"/>
    </font>
    <font>
      <b/>
      <i/>
      <u/>
      <sz val="12"/>
      <name val="Verdana"/>
      <family val="2"/>
    </font>
    <font>
      <b/>
      <sz val="16"/>
      <color indexed="8"/>
      <name val="Verdana"/>
      <family val="2"/>
    </font>
    <font>
      <b/>
      <sz val="40"/>
      <name val="Verdana"/>
      <family val="2"/>
    </font>
    <font>
      <b/>
      <sz val="20"/>
      <color indexed="8"/>
      <name val="Verdana"/>
      <family val="2"/>
    </font>
    <font>
      <b/>
      <sz val="8"/>
      <color indexed="8"/>
      <name val="Verdana"/>
      <family val="2"/>
    </font>
    <font>
      <b/>
      <u/>
      <sz val="10"/>
      <color indexed="8"/>
      <name val="Verdana"/>
      <family val="2"/>
    </font>
    <font>
      <b/>
      <sz val="13"/>
      <name val="Verdana"/>
      <family val="2"/>
    </font>
    <font>
      <sz val="13"/>
      <name val="Verdana"/>
      <family val="2"/>
    </font>
    <font>
      <sz val="11"/>
      <color theme="1"/>
      <name val="Calibri"/>
      <family val="2"/>
      <scheme val="minor"/>
    </font>
    <font>
      <sz val="11"/>
      <color theme="0"/>
      <name val="Calibri"/>
      <family val="2"/>
      <scheme val="minor"/>
    </font>
    <font>
      <sz val="10"/>
      <color theme="1"/>
      <name val="Arial"/>
      <family val="2"/>
    </font>
    <font>
      <sz val="11"/>
      <color theme="1"/>
      <name val="Calibri"/>
      <family val="2"/>
      <charset val="238"/>
      <scheme val="minor"/>
    </font>
    <font>
      <b/>
      <sz val="20"/>
      <color theme="1"/>
      <name val="Verdana"/>
      <family val="2"/>
    </font>
    <font>
      <b/>
      <sz val="16"/>
      <color theme="1"/>
      <name val="Verdana"/>
      <family val="2"/>
    </font>
    <font>
      <sz val="11"/>
      <color theme="1"/>
      <name val="Verdana"/>
      <family val="2"/>
    </font>
    <font>
      <sz val="12"/>
      <color theme="1"/>
      <name val="Verdana"/>
      <family val="2"/>
    </font>
    <font>
      <sz val="10"/>
      <color rgb="FF008000"/>
      <name val="Verdana"/>
      <family val="2"/>
    </font>
    <font>
      <sz val="10"/>
      <color theme="1"/>
      <name val="Verdana"/>
      <family val="2"/>
    </font>
    <font>
      <b/>
      <sz val="10"/>
      <color theme="1"/>
      <name val="Verdana"/>
      <family val="2"/>
    </font>
    <font>
      <b/>
      <sz val="11"/>
      <color theme="1"/>
      <name val="Verdan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FA7D00"/>
      <name val="Calibri"/>
      <family val="2"/>
      <scheme val="minor"/>
    </font>
    <font>
      <b/>
      <sz val="11"/>
      <color theme="0"/>
      <name val="Calibri"/>
      <family val="2"/>
      <scheme val="minor"/>
    </font>
    <font>
      <i/>
      <sz val="12"/>
      <name val="Verdana"/>
      <family val="2"/>
    </font>
    <font>
      <sz val="11"/>
      <name val="Calibri"/>
      <family val="2"/>
      <scheme val="minor"/>
    </font>
    <font>
      <b/>
      <sz val="8"/>
      <color rgb="FF000000"/>
      <name val="Verdana"/>
      <family val="2"/>
    </font>
    <font>
      <b/>
      <u/>
      <sz val="10"/>
      <color rgb="FF000000"/>
      <name val="Verdana"/>
      <family val="2"/>
    </font>
    <font>
      <b/>
      <sz val="10"/>
      <color rgb="FF000000"/>
      <name val="Verdana"/>
      <family val="2"/>
    </font>
    <font>
      <sz val="8"/>
      <color rgb="FF000000"/>
      <name val="Verdana"/>
      <family val="2"/>
    </font>
    <font>
      <b/>
      <sz val="14"/>
      <color rgb="FF000000"/>
      <name val="Verdana"/>
      <family val="2"/>
    </font>
    <font>
      <sz val="9"/>
      <color rgb="FF000000"/>
      <name val="Verdana"/>
      <family val="2"/>
    </font>
    <font>
      <b/>
      <sz val="11"/>
      <color rgb="FF000000"/>
      <name val="Verdana"/>
      <family val="2"/>
    </font>
    <font>
      <sz val="11"/>
      <color rgb="FF000000"/>
      <name val="Verdana"/>
      <family val="2"/>
    </font>
    <font>
      <i/>
      <sz val="9"/>
      <name val="Verdana"/>
    </font>
    <font>
      <b/>
      <sz val="22"/>
      <color rgb="FF000000"/>
      <name val="Verdana"/>
      <family val="2"/>
    </font>
    <font>
      <sz val="14"/>
      <color rgb="FF000000"/>
      <name val="Verdana"/>
      <family val="2"/>
    </font>
    <font>
      <b/>
      <sz val="20"/>
      <color rgb="FF000000"/>
      <name val="Verdana"/>
      <family val="2"/>
    </font>
    <font>
      <b/>
      <sz val="36"/>
      <color rgb="FF000000"/>
      <name val="Verdana"/>
      <family val="2"/>
    </font>
    <font>
      <b/>
      <sz val="18"/>
      <color rgb="FF000000"/>
      <name val="Verdana"/>
      <family val="2"/>
    </font>
    <font>
      <b/>
      <sz val="18"/>
      <color theme="1"/>
      <name val="Verdana"/>
      <family val="2"/>
    </font>
    <font>
      <sz val="18"/>
      <color rgb="FF000000"/>
      <name val="Verdana"/>
    </font>
    <font>
      <sz val="20"/>
      <color rgb="FF000000"/>
      <name val="Verdana"/>
      <family val="2"/>
    </font>
    <font>
      <b/>
      <sz val="26"/>
      <color rgb="FF000000"/>
      <name val="Verdana"/>
      <family val="2"/>
    </font>
    <font>
      <sz val="22"/>
      <color rgb="FF000000"/>
      <name val="Verdana"/>
      <family val="2"/>
    </font>
    <font>
      <b/>
      <sz val="16"/>
      <color rgb="FF000000"/>
      <name val="Verdana"/>
      <family val="2"/>
    </font>
    <font>
      <sz val="14"/>
      <name val="Verdana"/>
    </font>
    <font>
      <b/>
      <sz val="14"/>
      <color theme="1"/>
      <name val="Verdana"/>
      <family val="2"/>
    </font>
    <font>
      <sz val="12"/>
      <name val="Verdana"/>
    </font>
    <font>
      <b/>
      <vertAlign val="subscript"/>
      <sz val="14"/>
      <color theme="1"/>
      <name val="Verdana"/>
      <family val="2"/>
    </font>
    <font>
      <b/>
      <vertAlign val="subscript"/>
      <sz val="10"/>
      <color rgb="FF000000"/>
      <name val="Verdana"/>
      <family val="2"/>
    </font>
    <font>
      <sz val="10"/>
      <color theme="0"/>
      <name val="Verdana"/>
      <family val="2"/>
    </font>
  </fonts>
  <fills count="6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indexed="9"/>
        <bgColor indexed="64"/>
      </patternFill>
    </fill>
    <fill>
      <patternFill patternType="solid">
        <fgColor indexed="23"/>
        <bgColor indexed="64"/>
      </patternFill>
    </fill>
    <fill>
      <patternFill patternType="solid">
        <fgColor indexed="5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969696"/>
        <bgColor indexed="64"/>
      </patternFill>
    </fill>
    <fill>
      <patternFill patternType="solid">
        <fgColor theme="0"/>
        <bgColor rgb="FF000000"/>
      </patternFill>
    </fill>
    <fill>
      <patternFill patternType="solid">
        <fgColor theme="0" tint="-0.1499679555650502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hair">
        <color indexed="64"/>
      </top>
      <bottom/>
      <diagonal/>
    </border>
    <border>
      <left style="thin">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hair">
        <color indexed="64"/>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s>
  <cellStyleXfs count="243">
    <xf numFmtId="0" fontId="0" fillId="0" borderId="0"/>
    <xf numFmtId="0" fontId="12" fillId="2" borderId="0" applyNumberFormat="0" applyBorder="0" applyAlignment="0" applyProtection="0"/>
    <xf numFmtId="0" fontId="3" fillId="2" borderId="0" applyNumberFormat="0" applyBorder="0" applyAlignment="0" applyProtection="0"/>
    <xf numFmtId="0" fontId="2" fillId="2" borderId="0" applyNumberFormat="0" applyBorder="0" applyAlignment="0" applyProtection="0"/>
    <xf numFmtId="0" fontId="12" fillId="3" borderId="0" applyNumberFormat="0" applyBorder="0" applyAlignment="0" applyProtection="0"/>
    <xf numFmtId="0" fontId="3" fillId="3" borderId="0" applyNumberFormat="0" applyBorder="0" applyAlignment="0" applyProtection="0"/>
    <xf numFmtId="0" fontId="2" fillId="3" borderId="0" applyNumberFormat="0" applyBorder="0" applyAlignment="0" applyProtection="0"/>
    <xf numFmtId="0" fontId="12" fillId="4" borderId="0" applyNumberFormat="0" applyBorder="0" applyAlignment="0" applyProtection="0"/>
    <xf numFmtId="0" fontId="3" fillId="4" borderId="0" applyNumberFormat="0" applyBorder="0" applyAlignment="0" applyProtection="0"/>
    <xf numFmtId="0" fontId="2" fillId="4" borderId="0" applyNumberFormat="0" applyBorder="0" applyAlignment="0" applyProtection="0"/>
    <xf numFmtId="0" fontId="12" fillId="5" borderId="0" applyNumberFormat="0" applyBorder="0" applyAlignment="0" applyProtection="0"/>
    <xf numFmtId="0" fontId="3" fillId="5" borderId="0" applyNumberFormat="0" applyBorder="0" applyAlignment="0" applyProtection="0"/>
    <xf numFmtId="0" fontId="2" fillId="5" borderId="0" applyNumberFormat="0" applyBorder="0" applyAlignment="0" applyProtection="0"/>
    <xf numFmtId="0" fontId="12" fillId="6" borderId="0" applyNumberFormat="0" applyBorder="0" applyAlignment="0" applyProtection="0"/>
    <xf numFmtId="0" fontId="3" fillId="6" borderId="0" applyNumberFormat="0" applyBorder="0" applyAlignment="0" applyProtection="0"/>
    <xf numFmtId="0" fontId="2" fillId="6" borderId="0" applyNumberFormat="0" applyBorder="0" applyAlignment="0" applyProtection="0"/>
    <xf numFmtId="0" fontId="12" fillId="7" borderId="0" applyNumberFormat="0" applyBorder="0" applyAlignment="0" applyProtection="0"/>
    <xf numFmtId="0" fontId="3" fillId="7" borderId="0" applyNumberFormat="0" applyBorder="0" applyAlignment="0" applyProtection="0"/>
    <xf numFmtId="0" fontId="2" fillId="7"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12" fillId="8" borderId="0" applyNumberFormat="0" applyBorder="0" applyAlignment="0" applyProtection="0"/>
    <xf numFmtId="0" fontId="3" fillId="8" borderId="0" applyNumberFormat="0" applyBorder="0" applyAlignment="0" applyProtection="0"/>
    <xf numFmtId="0" fontId="2" fillId="8" borderId="0" applyNumberFormat="0" applyBorder="0" applyAlignment="0" applyProtection="0"/>
    <xf numFmtId="0" fontId="12" fillId="9" borderId="0" applyNumberFormat="0" applyBorder="0" applyAlignment="0" applyProtection="0"/>
    <xf numFmtId="0" fontId="3" fillId="9" borderId="0" applyNumberFormat="0" applyBorder="0" applyAlignment="0" applyProtection="0"/>
    <xf numFmtId="0" fontId="2" fillId="9" borderId="0" applyNumberFormat="0" applyBorder="0" applyAlignment="0" applyProtection="0"/>
    <xf numFmtId="0" fontId="12" fillId="10" borderId="0" applyNumberFormat="0" applyBorder="0" applyAlignment="0" applyProtection="0"/>
    <xf numFmtId="0" fontId="3" fillId="10" borderId="0" applyNumberFormat="0" applyBorder="0" applyAlignment="0" applyProtection="0"/>
    <xf numFmtId="0" fontId="2" fillId="10" borderId="0" applyNumberFormat="0" applyBorder="0" applyAlignment="0" applyProtection="0"/>
    <xf numFmtId="0" fontId="12" fillId="5" borderId="0" applyNumberFormat="0" applyBorder="0" applyAlignment="0" applyProtection="0"/>
    <xf numFmtId="0" fontId="3" fillId="5" borderId="0" applyNumberFormat="0" applyBorder="0" applyAlignment="0" applyProtection="0"/>
    <xf numFmtId="0" fontId="2" fillId="5" borderId="0" applyNumberFormat="0" applyBorder="0" applyAlignment="0" applyProtection="0"/>
    <xf numFmtId="0" fontId="12" fillId="8" borderId="0" applyNumberFormat="0" applyBorder="0" applyAlignment="0" applyProtection="0"/>
    <xf numFmtId="0" fontId="3" fillId="8" borderId="0" applyNumberFormat="0" applyBorder="0" applyAlignment="0" applyProtection="0"/>
    <xf numFmtId="0" fontId="2" fillId="8" borderId="0" applyNumberFormat="0" applyBorder="0" applyAlignment="0" applyProtection="0"/>
    <xf numFmtId="0" fontId="12" fillId="11" borderId="0" applyNumberFormat="0" applyBorder="0" applyAlignment="0" applyProtection="0"/>
    <xf numFmtId="0" fontId="3" fillId="11" borderId="0" applyNumberFormat="0" applyBorder="0" applyAlignment="0" applyProtection="0"/>
    <xf numFmtId="0" fontId="2" fillId="11"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42" fillId="12"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42" fillId="19" borderId="0" applyNumberFormat="0" applyBorder="0" applyAlignment="0" applyProtection="0"/>
    <xf numFmtId="0" fontId="43" fillId="3" borderId="0" applyNumberFormat="0" applyBorder="0" applyAlignment="0" applyProtection="0"/>
    <xf numFmtId="0" fontId="15" fillId="7" borderId="1" applyNumberFormat="0" applyAlignment="0" applyProtection="0"/>
    <xf numFmtId="0" fontId="26" fillId="4" borderId="0" applyNumberFormat="0" applyBorder="0" applyAlignment="0" applyProtection="0"/>
    <xf numFmtId="0" fontId="16" fillId="20" borderId="1" applyNumberFormat="0" applyAlignment="0" applyProtection="0"/>
    <xf numFmtId="0" fontId="16" fillId="20" borderId="1" applyNumberFormat="0" applyAlignment="0" applyProtection="0"/>
    <xf numFmtId="0" fontId="33" fillId="20" borderId="1" applyNumberFormat="0" applyAlignment="0" applyProtection="0"/>
    <xf numFmtId="0" fontId="21" fillId="21" borderId="2" applyNumberFormat="0" applyAlignment="0" applyProtection="0"/>
    <xf numFmtId="0" fontId="24" fillId="0" borderId="3" applyNumberFormat="0" applyFill="0" applyAlignment="0" applyProtection="0"/>
    <xf numFmtId="0" fontId="44" fillId="21" borderId="2" applyNumberFormat="0" applyAlignment="0" applyProtection="0"/>
    <xf numFmtId="0" fontId="17" fillId="0" borderId="0" applyNumberFormat="0" applyFill="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21" borderId="2" applyNumberFormat="0" applyAlignment="0" applyProtection="0"/>
    <xf numFmtId="0" fontId="20" fillId="0" borderId="0" applyNumberFormat="0" applyFill="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7" borderId="1"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45" fillId="4" borderId="0" applyNumberFormat="0" applyBorder="0" applyAlignment="0" applyProtection="0"/>
    <xf numFmtId="0" fontId="4" fillId="22" borderId="7" applyNumberFormat="0" applyFont="0" applyBorder="0" applyProtection="0">
      <alignment horizontal="center" vertical="center"/>
    </xf>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3" fontId="4" fillId="23" borderId="7" applyFont="0" applyProtection="0">
      <alignment horizontal="right" vertical="center"/>
    </xf>
    <xf numFmtId="0" fontId="4" fillId="23" borderId="8" applyNumberFormat="0" applyFont="0" applyBorder="0" applyProtection="0">
      <alignment horizontal="left" vertical="center"/>
    </xf>
    <xf numFmtId="0" fontId="11" fillId="0" borderId="0" applyNumberFormat="0" applyFill="0" applyBorder="0" applyAlignment="0" applyProtection="0">
      <alignment vertical="top"/>
      <protection locked="0"/>
    </xf>
    <xf numFmtId="0" fontId="24" fillId="0" borderId="3" applyNumberFormat="0" applyFill="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31" fillId="3" borderId="0" applyNumberFormat="0" applyBorder="0" applyAlignment="0" applyProtection="0"/>
    <xf numFmtId="0" fontId="25" fillId="7" borderId="1" applyNumberFormat="0" applyAlignment="0" applyProtection="0"/>
    <xf numFmtId="0" fontId="25" fillId="7" borderId="1" applyNumberFormat="0" applyAlignment="0" applyProtection="0"/>
    <xf numFmtId="3" fontId="4" fillId="24" borderId="7" applyFont="0">
      <alignment horizontal="right" vertical="center"/>
      <protection locked="0"/>
    </xf>
    <xf numFmtId="0" fontId="4" fillId="25" borderId="9" applyNumberFormat="0" applyFont="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26" fillId="4" borderId="0" applyNumberFormat="0" applyBorder="0" applyAlignment="0" applyProtection="0"/>
    <xf numFmtId="0" fontId="27" fillId="20" borderId="10" applyNumberFormat="0" applyAlignment="0" applyProtection="0"/>
    <xf numFmtId="0" fontId="11"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49" fillId="0" borderId="3" applyNumberFormat="0" applyFill="0" applyAlignment="0" applyProtection="0"/>
    <xf numFmtId="0" fontId="28" fillId="0" borderId="0" applyNumberFormat="0" applyFill="0" applyBorder="0" applyAlignment="0" applyProtection="0"/>
    <xf numFmtId="164" fontId="4" fillId="0" borderId="0" applyFill="0" applyBorder="0" applyAlignment="0" applyProtection="0"/>
    <xf numFmtId="164" fontId="4" fillId="0" borderId="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50"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5" fillId="0" borderId="0"/>
    <xf numFmtId="0" fontId="4" fillId="0" borderId="0"/>
    <xf numFmtId="0" fontId="12" fillId="0" borderId="0"/>
    <xf numFmtId="0" fontId="4" fillId="0" borderId="0"/>
    <xf numFmtId="0" fontId="4" fillId="0" borderId="0"/>
    <xf numFmtId="0" fontId="3" fillId="0" borderId="0"/>
    <xf numFmtId="0" fontId="4" fillId="0" borderId="0"/>
    <xf numFmtId="0" fontId="4" fillId="0" borderId="0"/>
    <xf numFmtId="0" fontId="125" fillId="0" borderId="0"/>
    <xf numFmtId="0" fontId="4" fillId="0" borderId="0"/>
    <xf numFmtId="0" fontId="2" fillId="0" borderId="0"/>
    <xf numFmtId="0" fontId="127" fillId="0" borderId="0"/>
    <xf numFmtId="0" fontId="52" fillId="0" borderId="0"/>
    <xf numFmtId="0" fontId="4" fillId="0" borderId="0"/>
    <xf numFmtId="0" fontId="12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25" borderId="9" applyNumberFormat="0" applyFont="0" applyAlignment="0" applyProtection="0"/>
    <xf numFmtId="0" fontId="4" fillId="25" borderId="9" applyNumberFormat="0" applyFont="0" applyAlignment="0" applyProtection="0"/>
    <xf numFmtId="0" fontId="29" fillId="0" borderId="11" applyNumberFormat="0" applyFill="0" applyAlignment="0" applyProtection="0"/>
    <xf numFmtId="0" fontId="30" fillId="20" borderId="10" applyNumberFormat="0" applyAlignment="0" applyProtection="0"/>
    <xf numFmtId="0" fontId="30" fillId="20" borderId="10" applyNumberFormat="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1" fillId="3" borderId="0" applyNumberFormat="0" applyBorder="0" applyAlignment="0" applyProtection="0"/>
    <xf numFmtId="0" fontId="27" fillId="20" borderId="10" applyNumberFormat="0" applyAlignment="0" applyProtection="0"/>
    <xf numFmtId="0" fontId="32" fillId="26" borderId="0" applyNumberFormat="0" applyBorder="0" applyAlignment="0" applyProtection="0"/>
    <xf numFmtId="3" fontId="4" fillId="27" borderId="7" applyFont="0">
      <alignment horizontal="right" vertical="center"/>
    </xf>
    <xf numFmtId="0" fontId="4" fillId="0" borderId="0"/>
    <xf numFmtId="0" fontId="4" fillId="0" borderId="0"/>
    <xf numFmtId="0" fontId="3" fillId="0" borderId="0"/>
    <xf numFmtId="0" fontId="4" fillId="0" borderId="0"/>
    <xf numFmtId="0" fontId="2" fillId="0" borderId="0"/>
    <xf numFmtId="0" fontId="1" fillId="0" borderId="0"/>
    <xf numFmtId="0" fontId="4" fillId="0" borderId="0"/>
    <xf numFmtId="0" fontId="4" fillId="0" borderId="0"/>
    <xf numFmtId="0" fontId="33" fillId="20" borderId="1" applyNumberFormat="0" applyAlignment="0" applyProtection="0"/>
    <xf numFmtId="0" fontId="23" fillId="0" borderId="0" applyNumberFormat="0" applyFill="0" applyBorder="0" applyAlignment="0" applyProtection="0"/>
    <xf numFmtId="0" fontId="28"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17" fillId="0" borderId="0" applyNumberFormat="0" applyFill="0" applyBorder="0" applyAlignment="0" applyProtection="0"/>
    <xf numFmtId="0" fontId="51" fillId="0" borderId="11"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137" fillId="0" borderId="0" applyNumberFormat="0" applyFill="0" applyBorder="0" applyAlignment="0" applyProtection="0"/>
    <xf numFmtId="0" fontId="138" fillId="0" borderId="124" applyNumberFormat="0" applyFill="0" applyAlignment="0" applyProtection="0"/>
    <xf numFmtId="0" fontId="139" fillId="0" borderId="125" applyNumberFormat="0" applyFill="0" applyAlignment="0" applyProtection="0"/>
    <xf numFmtId="0" fontId="140" fillId="0" borderId="126" applyNumberFormat="0" applyFill="0" applyAlignment="0" applyProtection="0"/>
    <xf numFmtId="0" fontId="140" fillId="0" borderId="0" applyNumberFormat="0" applyFill="0" applyBorder="0" applyAlignment="0" applyProtection="0"/>
    <xf numFmtId="0" fontId="141" fillId="39" borderId="0" applyNumberFormat="0" applyBorder="0" applyAlignment="0" applyProtection="0"/>
    <xf numFmtId="0" fontId="142" fillId="40" borderId="0" applyNumberFormat="0" applyBorder="0" applyAlignment="0" applyProtection="0"/>
    <xf numFmtId="0" fontId="143" fillId="0" borderId="127" applyNumberFormat="0" applyFill="0" applyAlignment="0" applyProtection="0"/>
    <xf numFmtId="0" fontId="144" fillId="41" borderId="128" applyNumberFormat="0" applyAlignment="0" applyProtection="0"/>
    <xf numFmtId="0" fontId="125" fillId="42" borderId="129" applyNumberFormat="0" applyFont="0" applyAlignment="0" applyProtection="0"/>
    <xf numFmtId="0" fontId="125" fillId="43" borderId="0" applyNumberFormat="0" applyBorder="0" applyAlignment="0" applyProtection="0"/>
    <xf numFmtId="0" fontId="125" fillId="44" borderId="0" applyNumberFormat="0" applyBorder="0" applyAlignment="0" applyProtection="0"/>
    <xf numFmtId="0" fontId="126" fillId="45" borderId="0" applyNumberFormat="0" applyBorder="0" applyAlignment="0" applyProtection="0"/>
    <xf numFmtId="0" fontId="125" fillId="46" borderId="0" applyNumberFormat="0" applyBorder="0" applyAlignment="0" applyProtection="0"/>
    <xf numFmtId="0" fontId="125" fillId="47" borderId="0" applyNumberFormat="0" applyBorder="0" applyAlignment="0" applyProtection="0"/>
    <xf numFmtId="0" fontId="126" fillId="48" borderId="0" applyNumberFormat="0" applyBorder="0" applyAlignment="0" applyProtection="0"/>
    <xf numFmtId="0" fontId="125" fillId="49" borderId="0" applyNumberFormat="0" applyBorder="0" applyAlignment="0" applyProtection="0"/>
    <xf numFmtId="0" fontId="125" fillId="50" borderId="0" applyNumberFormat="0" applyBorder="0" applyAlignment="0" applyProtection="0"/>
    <xf numFmtId="0" fontId="126" fillId="51" borderId="0" applyNumberFormat="0" applyBorder="0" applyAlignment="0" applyProtection="0"/>
    <xf numFmtId="0" fontId="125" fillId="52" borderId="0" applyNumberFormat="0" applyBorder="0" applyAlignment="0" applyProtection="0"/>
    <xf numFmtId="0" fontId="125" fillId="53" borderId="0" applyNumberFormat="0" applyBorder="0" applyAlignment="0" applyProtection="0"/>
    <xf numFmtId="0" fontId="126" fillId="54" borderId="0" applyNumberFormat="0" applyBorder="0" applyAlignment="0" applyProtection="0"/>
    <xf numFmtId="0" fontId="125" fillId="55" borderId="0" applyNumberFormat="0" applyBorder="0" applyAlignment="0" applyProtection="0"/>
    <xf numFmtId="0" fontId="125" fillId="56" borderId="0" applyNumberFormat="0" applyBorder="0" applyAlignment="0" applyProtection="0"/>
    <xf numFmtId="0" fontId="126" fillId="57" borderId="0" applyNumberFormat="0" applyBorder="0" applyAlignment="0" applyProtection="0"/>
    <xf numFmtId="0" fontId="125" fillId="58" borderId="0" applyNumberFormat="0" applyBorder="0" applyAlignment="0" applyProtection="0"/>
    <xf numFmtId="0" fontId="125" fillId="59" borderId="0" applyNumberFormat="0" applyBorder="0" applyAlignment="0" applyProtection="0"/>
    <xf numFmtId="0" fontId="126" fillId="60" borderId="0" applyNumberFormat="0" applyBorder="0" applyAlignment="0" applyProtection="0"/>
  </cellStyleXfs>
  <cellXfs count="2468">
    <xf numFmtId="0" fontId="0" fillId="0" borderId="0" xfId="0"/>
    <xf numFmtId="0" fontId="6" fillId="0" borderId="0" xfId="0" applyFont="1"/>
    <xf numFmtId="0" fontId="6" fillId="0" borderId="0" xfId="0" applyFont="1" applyAlignment="1">
      <alignment vertical="center"/>
    </xf>
    <xf numFmtId="0" fontId="6" fillId="0" borderId="0" xfId="0" applyFont="1" applyAlignment="1">
      <alignment vertical="center" wrapText="1"/>
    </xf>
    <xf numFmtId="0" fontId="6" fillId="0" borderId="0" xfId="0" applyFont="1" applyFill="1" applyBorder="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7" xfId="0" applyFont="1" applyFill="1" applyBorder="1" applyAlignment="1">
      <alignment horizontal="left" vertical="center" wrapText="1"/>
    </xf>
    <xf numFmtId="0" fontId="6" fillId="0" borderId="7" xfId="0" applyFont="1" applyFill="1" applyBorder="1" applyAlignment="1">
      <alignment horizontal="left" vertical="center" wrapText="1" indent="1"/>
    </xf>
    <xf numFmtId="0" fontId="6" fillId="0" borderId="7" xfId="0" applyFont="1" applyFill="1" applyBorder="1" applyAlignment="1">
      <alignment horizontal="left" vertical="center" wrapText="1" indent="2"/>
    </xf>
    <xf numFmtId="0" fontId="8" fillId="0" borderId="7"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3"/>
    </xf>
    <xf numFmtId="0" fontId="5" fillId="0" borderId="7" xfId="0" applyFont="1" applyFill="1" applyBorder="1" applyAlignment="1" applyProtection="1">
      <alignment vertical="center" wrapText="1"/>
    </xf>
    <xf numFmtId="0" fontId="5" fillId="0" borderId="7" xfId="196" applyFont="1" applyFill="1" applyBorder="1" applyAlignment="1">
      <alignment horizontal="left" vertical="center" wrapText="1" indent="1"/>
    </xf>
    <xf numFmtId="0" fontId="8" fillId="0" borderId="7" xfId="196" applyFont="1" applyFill="1" applyBorder="1" applyAlignment="1">
      <alignment horizontal="left" vertical="center" wrapText="1" indent="3"/>
    </xf>
    <xf numFmtId="0" fontId="40" fillId="0" borderId="0" xfId="0" applyFont="1" applyAlignment="1">
      <alignment vertical="center" wrapText="1"/>
    </xf>
    <xf numFmtId="0" fontId="6" fillId="0" borderId="0" xfId="0" quotePrefix="1" applyFont="1" applyAlignment="1">
      <alignment vertical="center"/>
    </xf>
    <xf numFmtId="0" fontId="5" fillId="0" borderId="7" xfId="196" applyFont="1" applyFill="1" applyBorder="1" applyAlignment="1">
      <alignment horizontal="left" vertical="center" wrapText="1" indent="2"/>
    </xf>
    <xf numFmtId="0" fontId="5" fillId="0" borderId="7" xfId="0" applyFont="1" applyFill="1" applyBorder="1" applyAlignment="1" applyProtection="1">
      <alignment horizontal="left" vertical="center" wrapText="1"/>
    </xf>
    <xf numFmtId="0" fontId="5" fillId="0" borderId="7" xfId="0" applyFont="1" applyFill="1" applyBorder="1" applyAlignment="1">
      <alignment horizontal="left" vertical="center" wrapText="1"/>
    </xf>
    <xf numFmtId="0" fontId="8" fillId="0" borderId="7" xfId="196" applyFont="1" applyFill="1" applyBorder="1" applyAlignment="1">
      <alignment horizontal="left" vertical="center" wrapText="1" indent="4"/>
    </xf>
    <xf numFmtId="3" fontId="5" fillId="0" borderId="0" xfId="0" applyNumberFormat="1"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wrapText="1"/>
    </xf>
    <xf numFmtId="0" fontId="8" fillId="0" borderId="0" xfId="0" applyFont="1" applyFill="1" applyAlignment="1">
      <alignment vertical="center" wrapText="1"/>
    </xf>
    <xf numFmtId="49" fontId="5" fillId="0" borderId="7" xfId="0" applyNumberFormat="1" applyFont="1" applyFill="1" applyBorder="1" applyAlignment="1">
      <alignment horizontal="left" vertical="center" wrapText="1"/>
    </xf>
    <xf numFmtId="0" fontId="5" fillId="0" borderId="7" xfId="0" applyFont="1" applyFill="1" applyBorder="1" applyAlignment="1">
      <alignment vertical="center"/>
    </xf>
    <xf numFmtId="0" fontId="5" fillId="0" borderId="12" xfId="0" applyFont="1" applyFill="1" applyBorder="1" applyAlignment="1">
      <alignment horizontal="left" vertical="center" wrapText="1"/>
    </xf>
    <xf numFmtId="0" fontId="8" fillId="0" borderId="0" xfId="0" applyFont="1"/>
    <xf numFmtId="0" fontId="55" fillId="0" borderId="7" xfId="196" applyFont="1" applyFill="1" applyBorder="1" applyAlignment="1">
      <alignment horizontal="left" vertical="center" wrapText="1" indent="4"/>
    </xf>
    <xf numFmtId="3" fontId="8" fillId="27" borderId="0" xfId="0" applyNumberFormat="1" applyFont="1" applyFill="1" applyAlignment="1">
      <alignment wrapText="1"/>
    </xf>
    <xf numFmtId="3" fontId="8" fillId="0" borderId="0" xfId="0" applyNumberFormat="1" applyFont="1" applyFill="1" applyAlignment="1">
      <alignment vertical="center" wrapText="1"/>
    </xf>
    <xf numFmtId="3" fontId="8" fillId="27" borderId="0" xfId="0" applyNumberFormat="1" applyFont="1" applyFill="1" applyAlignment="1">
      <alignment vertical="center" wrapText="1"/>
    </xf>
    <xf numFmtId="3" fontId="8" fillId="27" borderId="0" xfId="0" applyNumberFormat="1" applyFont="1" applyFill="1" applyAlignment="1">
      <alignment horizontal="center" vertical="center" wrapText="1"/>
    </xf>
    <xf numFmtId="0" fontId="56" fillId="0" borderId="0" xfId="0" applyFont="1" applyFill="1"/>
    <xf numFmtId="3" fontId="8" fillId="0" borderId="0" xfId="0" applyNumberFormat="1" applyFont="1" applyFill="1" applyBorder="1" applyAlignment="1">
      <alignment horizontal="left" vertical="center" wrapText="1"/>
    </xf>
    <xf numFmtId="3" fontId="8" fillId="0" borderId="0" xfId="0" applyNumberFormat="1" applyFont="1" applyFill="1" applyAlignment="1">
      <alignment wrapText="1"/>
    </xf>
    <xf numFmtId="3" fontId="8" fillId="0" borderId="0" xfId="0" applyNumberFormat="1" applyFont="1" applyFill="1" applyAlignment="1">
      <alignment horizontal="left" vertical="top" wrapText="1"/>
    </xf>
    <xf numFmtId="0" fontId="59" fillId="0" borderId="0" xfId="124" applyFont="1" applyAlignment="1" applyProtection="1"/>
    <xf numFmtId="0" fontId="59" fillId="0" borderId="0" xfId="124" applyFont="1" applyAlignment="1" applyProtection="1">
      <alignment horizontal="center" vertical="center"/>
    </xf>
    <xf numFmtId="0" fontId="56" fillId="0" borderId="0" xfId="178" applyFont="1"/>
    <xf numFmtId="0" fontId="56" fillId="0" borderId="0" xfId="178" applyFont="1" applyAlignment="1">
      <alignment horizontal="center" vertical="center"/>
    </xf>
    <xf numFmtId="0" fontId="56" fillId="27" borderId="0" xfId="178" applyFont="1" applyFill="1"/>
    <xf numFmtId="0" fontId="56" fillId="0" borderId="0" xfId="178" applyFont="1" applyAlignment="1">
      <alignment horizontal="center"/>
    </xf>
    <xf numFmtId="0" fontId="56" fillId="27" borderId="0" xfId="178" applyFont="1" applyFill="1" applyAlignment="1">
      <alignment horizontal="center"/>
    </xf>
    <xf numFmtId="1" fontId="56" fillId="27" borderId="0" xfId="178" applyNumberFormat="1" applyFont="1" applyFill="1"/>
    <xf numFmtId="0" fontId="63" fillId="0" borderId="0" xfId="171" applyFont="1" applyFill="1" applyBorder="1" applyAlignment="1">
      <alignment vertical="top"/>
    </xf>
    <xf numFmtId="0" fontId="64" fillId="0" borderId="0" xfId="171" applyFont="1" applyFill="1" applyBorder="1" applyAlignment="1">
      <alignment horizontal="centerContinuous" vertical="center"/>
    </xf>
    <xf numFmtId="0" fontId="63" fillId="0" borderId="0" xfId="171" applyFont="1" applyFill="1" applyBorder="1" applyAlignment="1">
      <alignment horizontal="center" vertical="center"/>
    </xf>
    <xf numFmtId="0" fontId="63" fillId="0" borderId="0" xfId="171" applyFont="1" applyFill="1" applyBorder="1" applyAlignment="1">
      <alignment horizontal="centerContinuous" vertical="center"/>
    </xf>
    <xf numFmtId="0" fontId="63" fillId="0" borderId="0" xfId="171" applyFont="1" applyFill="1" applyBorder="1" applyAlignment="1">
      <alignment horizontal="centerContinuous" vertical="top" wrapText="1"/>
    </xf>
    <xf numFmtId="0" fontId="62" fillId="0" borderId="0" xfId="171" applyFont="1" applyFill="1" applyBorder="1" applyAlignment="1">
      <alignment horizontal="centerContinuous" vertical="top" wrapText="1"/>
    </xf>
    <xf numFmtId="0" fontId="56" fillId="0" borderId="0" xfId="171" applyFont="1" applyFill="1" applyBorder="1" applyAlignment="1">
      <alignment horizontal="centerContinuous" vertical="top"/>
    </xf>
    <xf numFmtId="0" fontId="56" fillId="0" borderId="0" xfId="171" applyFont="1" applyBorder="1" applyAlignment="1">
      <alignment horizontal="centerContinuous" vertical="top"/>
    </xf>
    <xf numFmtId="0" fontId="56" fillId="0" borderId="0" xfId="171" applyFont="1" applyBorder="1" applyAlignment="1">
      <alignment horizontal="center" vertical="top"/>
    </xf>
    <xf numFmtId="0" fontId="67" fillId="0" borderId="0" xfId="171" applyFont="1" applyBorder="1" applyAlignment="1">
      <alignment horizontal="center" vertical="center" wrapText="1"/>
    </xf>
    <xf numFmtId="0" fontId="63" fillId="0" borderId="0" xfId="171" applyFont="1" applyBorder="1" applyAlignment="1">
      <alignment vertical="center" wrapText="1"/>
    </xf>
    <xf numFmtId="0" fontId="56" fillId="0" borderId="0" xfId="171" applyFont="1" applyBorder="1"/>
    <xf numFmtId="0" fontId="69" fillId="0" borderId="0" xfId="171" applyFont="1" applyBorder="1" applyAlignment="1">
      <alignment horizontal="right"/>
    </xf>
    <xf numFmtId="0" fontId="66" fillId="0" borderId="0" xfId="171" applyFont="1" applyBorder="1" applyAlignment="1">
      <alignment horizontal="center" wrapText="1"/>
    </xf>
    <xf numFmtId="0" fontId="70" fillId="0" borderId="0" xfId="152" applyFont="1" applyBorder="1"/>
    <xf numFmtId="0" fontId="68" fillId="0" borderId="0" xfId="171" applyFont="1" applyBorder="1" applyAlignment="1">
      <alignment horizontal="center" vertical="center" wrapText="1"/>
    </xf>
    <xf numFmtId="0" fontId="64" fillId="0" borderId="0" xfId="166" applyFont="1" applyAlignment="1">
      <alignment horizontal="centerContinuous" vertical="top"/>
    </xf>
    <xf numFmtId="0" fontId="56" fillId="0" borderId="0" xfId="166" applyFont="1" applyAlignment="1">
      <alignment wrapText="1"/>
    </xf>
    <xf numFmtId="0" fontId="68" fillId="0" borderId="0" xfId="166" applyFont="1" applyBorder="1" applyAlignment="1">
      <alignment horizontal="centerContinuous" vertical="center"/>
    </xf>
    <xf numFmtId="0" fontId="56" fillId="0" borderId="0" xfId="166" applyFont="1" applyBorder="1"/>
    <xf numFmtId="0" fontId="56" fillId="0" borderId="0" xfId="166" applyFont="1"/>
    <xf numFmtId="0" fontId="65" fillId="0" borderId="0" xfId="166" applyFont="1" applyBorder="1" applyAlignment="1"/>
    <xf numFmtId="0" fontId="68" fillId="0" borderId="0" xfId="166" applyFont="1" applyBorder="1" applyAlignment="1">
      <alignment vertical="center" wrapText="1"/>
    </xf>
    <xf numFmtId="0" fontId="65" fillId="0" borderId="0" xfId="166" applyFont="1" applyBorder="1" applyAlignment="1">
      <alignment horizontal="left"/>
    </xf>
    <xf numFmtId="0" fontId="67" fillId="0" borderId="0" xfId="166" applyFont="1" applyBorder="1" applyAlignment="1">
      <alignment horizontal="center" vertical="center" wrapText="1"/>
    </xf>
    <xf numFmtId="0" fontId="56" fillId="0" borderId="0" xfId="166" applyFont="1" applyBorder="1" applyAlignment="1">
      <alignment horizontal="center" wrapText="1"/>
    </xf>
    <xf numFmtId="0" fontId="70" fillId="0" borderId="0" xfId="166" applyFont="1" applyBorder="1"/>
    <xf numFmtId="0" fontId="65" fillId="0" borderId="14" xfId="173" applyFont="1" applyFill="1" applyBorder="1" applyAlignment="1">
      <alignment horizontal="left" vertical="center" wrapText="1"/>
    </xf>
    <xf numFmtId="0" fontId="65" fillId="0" borderId="8" xfId="173" applyFont="1" applyFill="1" applyBorder="1" applyAlignment="1">
      <alignment horizontal="left" vertical="center" wrapText="1"/>
    </xf>
    <xf numFmtId="0" fontId="65" fillId="0" borderId="15" xfId="173" applyFont="1" applyFill="1" applyBorder="1" applyAlignment="1">
      <alignment horizontal="left" vertical="center" wrapText="1"/>
    </xf>
    <xf numFmtId="0" fontId="65" fillId="0" borderId="16" xfId="173" applyFont="1" applyFill="1" applyBorder="1" applyAlignment="1">
      <alignment horizontal="left" vertical="center" wrapText="1"/>
    </xf>
    <xf numFmtId="9" fontId="65" fillId="0" borderId="15" xfId="171" applyNumberFormat="1" applyFont="1" applyFill="1" applyBorder="1" applyAlignment="1">
      <alignment horizontal="left" vertical="center" wrapText="1"/>
    </xf>
    <xf numFmtId="9" fontId="65" fillId="0" borderId="8" xfId="171" applyNumberFormat="1" applyFont="1" applyFill="1" applyBorder="1" applyAlignment="1">
      <alignment horizontal="left" vertical="center" wrapText="1" indent="2"/>
    </xf>
    <xf numFmtId="0" fontId="60" fillId="0" borderId="17" xfId="166" applyFont="1" applyFill="1" applyBorder="1" applyAlignment="1">
      <alignment horizontal="center" vertical="center" wrapText="1"/>
    </xf>
    <xf numFmtId="9" fontId="60" fillId="0" borderId="15" xfId="166" applyNumberFormat="1" applyFont="1" applyFill="1" applyBorder="1" applyAlignment="1">
      <alignment horizontal="right" vertical="center" wrapText="1"/>
    </xf>
    <xf numFmtId="0" fontId="53" fillId="0" borderId="0" xfId="0" applyFont="1"/>
    <xf numFmtId="0" fontId="53" fillId="27" borderId="0" xfId="0" applyFont="1" applyFill="1"/>
    <xf numFmtId="0" fontId="80" fillId="0" borderId="0" xfId="0" applyFont="1"/>
    <xf numFmtId="0" fontId="79" fillId="0" borderId="0" xfId="0" applyFont="1"/>
    <xf numFmtId="0" fontId="53" fillId="0" borderId="7" xfId="0" applyFont="1" applyFill="1" applyBorder="1"/>
    <xf numFmtId="0" fontId="78" fillId="0" borderId="0" xfId="0" applyFont="1"/>
    <xf numFmtId="0" fontId="53" fillId="27" borderId="18" xfId="0" applyFont="1" applyFill="1" applyBorder="1"/>
    <xf numFmtId="0" fontId="53" fillId="0" borderId="18" xfId="0" applyFont="1" applyFill="1" applyBorder="1"/>
    <xf numFmtId="0" fontId="53" fillId="27" borderId="19" xfId="0" applyFont="1" applyFill="1" applyBorder="1"/>
    <xf numFmtId="0" fontId="53" fillId="27" borderId="20" xfId="0" applyFont="1" applyFill="1" applyBorder="1"/>
    <xf numFmtId="0" fontId="53" fillId="0" borderId="19" xfId="0" applyFont="1" applyFill="1" applyBorder="1"/>
    <xf numFmtId="0" fontId="53" fillId="27" borderId="21" xfId="0" applyFont="1" applyFill="1" applyBorder="1"/>
    <xf numFmtId="0" fontId="53" fillId="27" borderId="22" xfId="0" applyFont="1" applyFill="1" applyBorder="1"/>
    <xf numFmtId="0" fontId="53" fillId="0" borderId="21" xfId="0" applyFont="1" applyFill="1" applyBorder="1"/>
    <xf numFmtId="0" fontId="53" fillId="27" borderId="7" xfId="0" applyFont="1" applyFill="1" applyBorder="1"/>
    <xf numFmtId="0" fontId="53" fillId="27" borderId="23" xfId="0" applyFont="1" applyFill="1" applyBorder="1"/>
    <xf numFmtId="0" fontId="8" fillId="0" borderId="0" xfId="0" applyFont="1" applyFill="1"/>
    <xf numFmtId="0" fontId="53" fillId="0" borderId="0" xfId="0" applyFont="1" applyFill="1"/>
    <xf numFmtId="0" fontId="81" fillId="0" borderId="19" xfId="0" applyFont="1" applyFill="1" applyBorder="1" applyAlignment="1">
      <alignment horizontal="center"/>
    </xf>
    <xf numFmtId="0" fontId="8" fillId="0" borderId="0" xfId="0" applyFont="1" applyBorder="1"/>
    <xf numFmtId="0" fontId="53" fillId="0" borderId="0" xfId="0" applyFont="1" applyFill="1" applyBorder="1" applyAlignment="1">
      <alignment horizontal="center" vertical="center" wrapText="1"/>
    </xf>
    <xf numFmtId="0" fontId="60" fillId="0" borderId="0" xfId="174" applyFont="1" applyBorder="1" applyAlignment="1">
      <alignment vertical="center" wrapText="1"/>
    </xf>
    <xf numFmtId="0" fontId="56" fillId="0" borderId="0" xfId="174" applyFont="1" applyBorder="1" applyAlignment="1">
      <alignment horizontal="center" vertical="center" wrapText="1"/>
    </xf>
    <xf numFmtId="0" fontId="56" fillId="0" borderId="0" xfId="174" applyFont="1" applyBorder="1" applyAlignment="1">
      <alignment vertical="center" wrapText="1"/>
    </xf>
    <xf numFmtId="0" fontId="56" fillId="0" borderId="0" xfId="174" applyFont="1" applyBorder="1" applyAlignment="1">
      <alignment horizontal="center" wrapText="1"/>
    </xf>
    <xf numFmtId="0" fontId="68" fillId="0" borderId="0" xfId="174" applyFont="1" applyBorder="1" applyAlignment="1">
      <alignment horizontal="left" vertical="center" wrapText="1"/>
    </xf>
    <xf numFmtId="0" fontId="61" fillId="0" borderId="0" xfId="174" applyFont="1" applyBorder="1" applyAlignment="1">
      <alignment horizontal="left" vertical="center"/>
    </xf>
    <xf numFmtId="0" fontId="57" fillId="0" borderId="0" xfId="149" applyFont="1" applyAlignment="1">
      <alignment vertical="center"/>
    </xf>
    <xf numFmtId="0" fontId="61" fillId="0" borderId="0" xfId="149" applyFont="1" applyFill="1" applyAlignment="1">
      <alignment horizontal="center" vertical="center"/>
    </xf>
    <xf numFmtId="0" fontId="57" fillId="0" borderId="0" xfId="202" applyFont="1" applyAlignment="1">
      <alignment vertical="center"/>
    </xf>
    <xf numFmtId="0" fontId="57" fillId="0" borderId="0" xfId="149" applyFont="1"/>
    <xf numFmtId="0" fontId="57" fillId="0" borderId="0" xfId="149" applyFont="1" applyBorder="1"/>
    <xf numFmtId="0" fontId="82" fillId="0" borderId="0" xfId="149" applyFont="1" applyAlignment="1">
      <alignment horizontal="left" vertical="center"/>
    </xf>
    <xf numFmtId="0" fontId="57" fillId="0" borderId="0" xfId="149" applyFont="1" applyAlignment="1">
      <alignment horizontal="center"/>
    </xf>
    <xf numFmtId="0" fontId="57" fillId="0" borderId="0" xfId="149" applyFont="1" applyFill="1" applyAlignment="1">
      <alignment vertical="center"/>
    </xf>
    <xf numFmtId="0" fontId="57" fillId="0" borderId="0" xfId="149" applyFont="1" applyFill="1" applyBorder="1"/>
    <xf numFmtId="0" fontId="82" fillId="0" borderId="0" xfId="149" applyFont="1"/>
    <xf numFmtId="0" fontId="67" fillId="0" borderId="0" xfId="149" applyFont="1" applyAlignment="1">
      <alignment horizontal="center" vertical="center"/>
    </xf>
    <xf numFmtId="0" fontId="67" fillId="0" borderId="0" xfId="149" applyFont="1"/>
    <xf numFmtId="0" fontId="67" fillId="0" borderId="0" xfId="149" applyFont="1" applyAlignment="1">
      <alignment horizontal="center"/>
    </xf>
    <xf numFmtId="0" fontId="56" fillId="0" borderId="0" xfId="149" applyFont="1"/>
    <xf numFmtId="0" fontId="56" fillId="0" borderId="0" xfId="149" applyFont="1" applyBorder="1"/>
    <xf numFmtId="0" fontId="56" fillId="0" borderId="0" xfId="149" applyFont="1" applyAlignment="1">
      <alignment horizontal="center" vertical="center"/>
    </xf>
    <xf numFmtId="0" fontId="56" fillId="0" borderId="0" xfId="149" applyFont="1" applyAlignment="1">
      <alignment horizontal="center"/>
    </xf>
    <xf numFmtId="0" fontId="86" fillId="0" borderId="0" xfId="196" applyFont="1"/>
    <xf numFmtId="0" fontId="6" fillId="0" borderId="0" xfId="196" applyFont="1" applyAlignment="1">
      <alignment wrapText="1"/>
    </xf>
    <xf numFmtId="0" fontId="87" fillId="0" borderId="0" xfId="196" applyFont="1" applyBorder="1" applyAlignment="1">
      <alignment wrapText="1"/>
    </xf>
    <xf numFmtId="0" fontId="6" fillId="0" borderId="0" xfId="196" applyFont="1" applyBorder="1" applyAlignment="1">
      <alignment wrapText="1"/>
    </xf>
    <xf numFmtId="0" fontId="86" fillId="0" borderId="0" xfId="196" applyFont="1" applyBorder="1" applyAlignment="1">
      <alignment wrapText="1"/>
    </xf>
    <xf numFmtId="0" fontId="86" fillId="0" borderId="0" xfId="196" applyFont="1" applyBorder="1" applyAlignment="1">
      <alignment horizontal="center" wrapText="1"/>
    </xf>
    <xf numFmtId="0" fontId="86" fillId="0" borderId="0" xfId="196" applyFont="1" applyBorder="1"/>
    <xf numFmtId="0" fontId="88" fillId="0" borderId="0" xfId="196" applyFont="1" applyBorder="1" applyAlignment="1">
      <alignment horizontal="centerContinuous" vertical="center"/>
    </xf>
    <xf numFmtId="0" fontId="89" fillId="0" borderId="0" xfId="196" applyFont="1" applyBorder="1" applyAlignment="1">
      <alignment horizontal="center" vertical="center" wrapText="1"/>
    </xf>
    <xf numFmtId="0" fontId="89" fillId="0" borderId="0" xfId="196" applyFont="1" applyBorder="1" applyAlignment="1">
      <alignment horizontal="center" vertical="center"/>
    </xf>
    <xf numFmtId="0" fontId="89" fillId="0" borderId="0" xfId="196" applyFont="1" applyFill="1" applyBorder="1" applyAlignment="1">
      <alignment vertical="center"/>
    </xf>
    <xf numFmtId="0" fontId="89" fillId="0" borderId="0" xfId="196" applyFont="1" applyFill="1" applyAlignment="1">
      <alignment vertical="center"/>
    </xf>
    <xf numFmtId="0" fontId="90" fillId="0" borderId="0" xfId="196" applyFont="1" applyFill="1" applyBorder="1" applyAlignment="1">
      <alignment vertical="center"/>
    </xf>
    <xf numFmtId="0" fontId="90" fillId="0" borderId="0" xfId="196" applyFont="1" applyFill="1" applyAlignment="1">
      <alignment vertical="center"/>
    </xf>
    <xf numFmtId="49" fontId="91" fillId="0" borderId="0" xfId="196" applyNumberFormat="1" applyFont="1" applyFill="1" applyBorder="1" applyAlignment="1">
      <alignment horizontal="center" vertical="center"/>
    </xf>
    <xf numFmtId="49" fontId="91" fillId="0" borderId="0" xfId="196" applyNumberFormat="1" applyFont="1" applyBorder="1" applyAlignment="1">
      <alignment horizontal="center" vertical="center" wrapText="1"/>
    </xf>
    <xf numFmtId="0" fontId="86" fillId="0" borderId="0" xfId="196" applyFont="1" applyFill="1" applyBorder="1" applyAlignment="1">
      <alignment wrapText="1"/>
    </xf>
    <xf numFmtId="0" fontId="86" fillId="0" borderId="0" xfId="196" applyFont="1" applyAlignment="1">
      <alignment wrapText="1"/>
    </xf>
    <xf numFmtId="0" fontId="86" fillId="0" borderId="0" xfId="196" applyFont="1" applyFill="1" applyBorder="1" applyAlignment="1">
      <alignment vertical="center" wrapText="1"/>
    </xf>
    <xf numFmtId="0" fontId="86" fillId="0" borderId="0" xfId="196" applyFont="1" applyFill="1"/>
    <xf numFmtId="0" fontId="6" fillId="0" borderId="0" xfId="196" applyFont="1" applyFill="1" applyBorder="1" applyAlignment="1">
      <alignment wrapText="1"/>
    </xf>
    <xf numFmtId="0" fontId="91" fillId="0" borderId="0" xfId="196" applyFont="1" applyFill="1" applyBorder="1" applyAlignment="1">
      <alignment horizontal="right"/>
    </xf>
    <xf numFmtId="0" fontId="86" fillId="0" borderId="0" xfId="196" applyFont="1" applyFill="1" applyBorder="1" applyAlignment="1">
      <alignment horizontal="center" wrapText="1"/>
    </xf>
    <xf numFmtId="0" fontId="86" fillId="0" borderId="0" xfId="196" applyFont="1" applyFill="1" applyBorder="1"/>
    <xf numFmtId="0" fontId="95" fillId="0" borderId="0" xfId="196" applyFont="1" applyFill="1" applyBorder="1" applyAlignment="1">
      <alignment horizontal="left" vertical="center" wrapText="1"/>
    </xf>
    <xf numFmtId="0" fontId="86" fillId="0" borderId="0" xfId="196" applyFont="1" applyAlignment="1">
      <alignment horizontal="center" wrapText="1"/>
    </xf>
    <xf numFmtId="0" fontId="86" fillId="0" borderId="0" xfId="163" applyFont="1"/>
    <xf numFmtId="0" fontId="6" fillId="0" borderId="0" xfId="163" applyFont="1" applyAlignment="1">
      <alignment wrapText="1"/>
    </xf>
    <xf numFmtId="0" fontId="86" fillId="0" borderId="0" xfId="163" applyFont="1" applyAlignment="1">
      <alignment wrapText="1"/>
    </xf>
    <xf numFmtId="0" fontId="86" fillId="0" borderId="0" xfId="163" applyFont="1" applyAlignment="1">
      <alignment horizontal="center" wrapText="1"/>
    </xf>
    <xf numFmtId="0" fontId="89" fillId="0" borderId="0" xfId="163" applyFont="1" applyBorder="1" applyAlignment="1">
      <alignment horizontal="center" vertical="center" wrapText="1"/>
    </xf>
    <xf numFmtId="0" fontId="86" fillId="0" borderId="0" xfId="163" applyFont="1" applyBorder="1"/>
    <xf numFmtId="0" fontId="88" fillId="0" borderId="0" xfId="163" applyFont="1" applyBorder="1" applyAlignment="1">
      <alignment horizontal="centerContinuous" vertical="center"/>
    </xf>
    <xf numFmtId="0" fontId="89" fillId="0" borderId="0" xfId="163" applyFont="1" applyBorder="1" applyAlignment="1">
      <alignment horizontal="center" vertical="center"/>
    </xf>
    <xf numFmtId="0" fontId="89" fillId="0" borderId="0" xfId="163" applyFont="1" applyFill="1" applyAlignment="1">
      <alignment vertical="center"/>
    </xf>
    <xf numFmtId="0" fontId="90" fillId="0" borderId="0" xfId="163" applyFont="1" applyFill="1" applyAlignment="1">
      <alignment vertical="center"/>
    </xf>
    <xf numFmtId="0" fontId="56" fillId="0" borderId="0" xfId="159" applyFont="1" applyAlignment="1">
      <alignment horizontal="center"/>
    </xf>
    <xf numFmtId="0" fontId="56" fillId="0" borderId="0" xfId="159" applyFont="1"/>
    <xf numFmtId="0" fontId="57" fillId="0" borderId="0" xfId="159" applyFont="1" applyAlignment="1">
      <alignment horizontal="center"/>
    </xf>
    <xf numFmtId="0" fontId="57" fillId="0" borderId="0" xfId="0" applyFont="1" applyAlignment="1">
      <alignment vertical="center"/>
    </xf>
    <xf numFmtId="0" fontId="57" fillId="0" borderId="0" xfId="159" applyFont="1" applyFill="1"/>
    <xf numFmtId="0" fontId="57" fillId="0" borderId="0" xfId="159" applyFont="1" applyFill="1" applyBorder="1"/>
    <xf numFmtId="0" fontId="82" fillId="0" borderId="0" xfId="159" applyFont="1" applyAlignment="1">
      <alignment vertical="center"/>
    </xf>
    <xf numFmtId="0" fontId="57" fillId="0" borderId="0" xfId="159" applyFont="1"/>
    <xf numFmtId="0" fontId="97" fillId="0" borderId="0" xfId="159" applyFont="1" applyFill="1" applyAlignment="1">
      <alignment vertical="center"/>
    </xf>
    <xf numFmtId="0" fontId="83" fillId="0" borderId="0" xfId="159" applyFont="1" applyAlignment="1">
      <alignment horizontal="left" vertical="top"/>
    </xf>
    <xf numFmtId="0" fontId="67" fillId="0" borderId="0" xfId="159" applyFont="1"/>
    <xf numFmtId="0" fontId="83" fillId="0" borderId="0" xfId="159" applyFont="1" applyAlignment="1">
      <alignment horizontal="left" vertical="center"/>
    </xf>
    <xf numFmtId="0" fontId="67" fillId="0" borderId="0" xfId="159" applyFont="1" applyAlignment="1">
      <alignment horizontal="center"/>
    </xf>
    <xf numFmtId="0" fontId="56" fillId="0" borderId="0" xfId="159" applyFont="1" applyAlignment="1">
      <alignment horizontal="center" vertical="center"/>
    </xf>
    <xf numFmtId="0" fontId="67" fillId="0" borderId="0" xfId="159" applyFont="1" applyFill="1"/>
    <xf numFmtId="0" fontId="57" fillId="0" borderId="0" xfId="159" applyFont="1" applyFill="1" applyAlignment="1">
      <alignment vertical="center"/>
    </xf>
    <xf numFmtId="0" fontId="97" fillId="0" borderId="0" xfId="159" applyFont="1" applyFill="1" applyBorder="1"/>
    <xf numFmtId="0" fontId="67" fillId="0" borderId="0" xfId="159" applyFont="1" applyFill="1" applyAlignment="1">
      <alignment horizontal="center"/>
    </xf>
    <xf numFmtId="0" fontId="98" fillId="0" borderId="0" xfId="125" applyFont="1" applyAlignment="1" applyProtection="1"/>
    <xf numFmtId="0" fontId="56" fillId="0" borderId="0" xfId="175" applyFont="1"/>
    <xf numFmtId="0" fontId="67" fillId="0" borderId="0" xfId="175" applyFont="1"/>
    <xf numFmtId="0" fontId="5" fillId="0" borderId="0" xfId="175" applyFont="1" applyAlignment="1">
      <alignment horizontal="center" vertical="center"/>
    </xf>
    <xf numFmtId="0" fontId="5" fillId="0" borderId="0" xfId="175" applyFont="1" applyBorder="1" applyAlignment="1">
      <alignment horizontal="center" vertical="center"/>
    </xf>
    <xf numFmtId="0" fontId="99" fillId="0" borderId="0" xfId="175" applyFont="1" applyBorder="1" applyAlignment="1">
      <alignment horizontal="center"/>
    </xf>
    <xf numFmtId="0" fontId="56" fillId="0" borderId="0" xfId="175" applyFont="1" applyBorder="1" applyAlignment="1">
      <alignment horizontal="left"/>
    </xf>
    <xf numFmtId="0" fontId="67" fillId="0" borderId="0" xfId="175" quotePrefix="1" applyFont="1" applyFill="1" applyBorder="1" applyAlignment="1">
      <alignment horizontal="left" vertical="center" wrapText="1"/>
    </xf>
    <xf numFmtId="0" fontId="83" fillId="0" borderId="0" xfId="175" quotePrefix="1" applyFont="1" applyFill="1" applyBorder="1" applyAlignment="1">
      <alignment horizontal="left" vertical="center" wrapText="1"/>
    </xf>
    <xf numFmtId="0" fontId="56" fillId="0" borderId="0" xfId="175" applyFont="1" applyAlignment="1">
      <alignment horizontal="left"/>
    </xf>
    <xf numFmtId="0" fontId="96" fillId="0" borderId="0" xfId="175" applyFont="1" applyFill="1" applyBorder="1" applyAlignment="1">
      <alignment horizontal="left"/>
    </xf>
    <xf numFmtId="0" fontId="86" fillId="0" borderId="0" xfId="175" quotePrefix="1" applyFont="1" applyBorder="1" applyAlignment="1">
      <alignment horizontal="center"/>
    </xf>
    <xf numFmtId="0" fontId="100" fillId="0" borderId="0" xfId="175" applyFont="1" applyBorder="1"/>
    <xf numFmtId="0" fontId="56" fillId="0" borderId="0" xfId="175" applyFont="1" applyBorder="1"/>
    <xf numFmtId="0" fontId="67" fillId="27" borderId="0" xfId="180" applyFont="1" applyFill="1"/>
    <xf numFmtId="0" fontId="67" fillId="27" borderId="0" xfId="180" applyFont="1" applyFill="1" applyAlignment="1">
      <alignment horizontal="center"/>
    </xf>
    <xf numFmtId="0" fontId="57" fillId="27" borderId="0" xfId="180" applyFont="1" applyFill="1" applyAlignment="1">
      <alignment vertical="center"/>
    </xf>
    <xf numFmtId="0" fontId="67" fillId="27" borderId="23" xfId="180" applyFont="1" applyFill="1" applyBorder="1" applyAlignment="1">
      <alignment vertical="center"/>
    </xf>
    <xf numFmtId="0" fontId="67" fillId="27" borderId="8" xfId="180" applyFont="1" applyFill="1" applyBorder="1" applyAlignment="1">
      <alignment vertical="center"/>
    </xf>
    <xf numFmtId="0" fontId="67" fillId="27" borderId="7" xfId="180" applyFont="1" applyFill="1" applyBorder="1" applyAlignment="1">
      <alignment vertical="center"/>
    </xf>
    <xf numFmtId="0" fontId="67" fillId="27" borderId="0" xfId="180" applyFont="1" applyFill="1" applyAlignment="1">
      <alignment vertical="center"/>
    </xf>
    <xf numFmtId="0" fontId="67" fillId="27" borderId="0" xfId="180" applyFont="1" applyFill="1" applyAlignment="1">
      <alignment horizontal="left"/>
    </xf>
    <xf numFmtId="0" fontId="102" fillId="0" borderId="0" xfId="0" applyFont="1" applyFill="1" applyBorder="1" applyAlignment="1">
      <alignment horizontal="left" vertical="center" wrapText="1"/>
    </xf>
    <xf numFmtId="0" fontId="88" fillId="0" borderId="0" xfId="0" applyFont="1" applyFill="1" applyBorder="1" applyAlignment="1">
      <alignment horizontal="centerContinuous" vertical="center"/>
    </xf>
    <xf numFmtId="0" fontId="72" fillId="0" borderId="0" xfId="0" applyFont="1" applyFill="1" applyBorder="1" applyAlignment="1">
      <alignment horizontal="centerContinuous" vertical="center"/>
    </xf>
    <xf numFmtId="0" fontId="88" fillId="0" borderId="0" xfId="150" applyFont="1" applyFill="1" applyBorder="1" applyAlignment="1">
      <alignment horizontal="centerContinuous" vertical="center"/>
    </xf>
    <xf numFmtId="49" fontId="129" fillId="0" borderId="0" xfId="0" applyNumberFormat="1" applyFont="1" applyFill="1" applyBorder="1" applyAlignment="1">
      <alignment horizontal="center" vertical="center"/>
    </xf>
    <xf numFmtId="0" fontId="95" fillId="0" borderId="0" xfId="150" applyFont="1" applyFill="1" applyBorder="1" applyAlignment="1">
      <alignment horizontal="left" vertical="center" wrapText="1"/>
    </xf>
    <xf numFmtId="0" fontId="86" fillId="0" borderId="0" xfId="150" applyFont="1"/>
    <xf numFmtId="0" fontId="102" fillId="0" borderId="0" xfId="150" applyFont="1" applyFill="1" applyBorder="1" applyAlignment="1">
      <alignment horizontal="left" vertical="center" wrapText="1"/>
    </xf>
    <xf numFmtId="0" fontId="86" fillId="0" borderId="0" xfId="0" applyFont="1" applyFill="1" applyBorder="1"/>
    <xf numFmtId="0" fontId="59" fillId="0" borderId="0" xfId="119" applyFont="1" applyAlignment="1" applyProtection="1"/>
    <xf numFmtId="0" fontId="8" fillId="0" borderId="0" xfId="159" applyFont="1"/>
    <xf numFmtId="0" fontId="8" fillId="0" borderId="0" xfId="159" applyFont="1" applyFill="1"/>
    <xf numFmtId="0" fontId="56" fillId="0" borderId="0" xfId="159" applyFont="1" applyFill="1"/>
    <xf numFmtId="0" fontId="8" fillId="0" borderId="0" xfId="159" applyFont="1" applyAlignment="1">
      <alignment wrapText="1"/>
    </xf>
    <xf numFmtId="0" fontId="8" fillId="0" borderId="0" xfId="159" applyFont="1" applyFill="1" applyAlignment="1">
      <alignment wrapText="1"/>
    </xf>
    <xf numFmtId="0" fontId="8" fillId="0" borderId="0" xfId="159" applyFont="1" applyFill="1" applyBorder="1"/>
    <xf numFmtId="0" fontId="8" fillId="0" borderId="14" xfId="159" applyFont="1" applyFill="1" applyBorder="1"/>
    <xf numFmtId="0" fontId="8" fillId="0" borderId="15" xfId="159" applyFont="1" applyFill="1" applyBorder="1"/>
    <xf numFmtId="0" fontId="61" fillId="0" borderId="0" xfId="159" applyFont="1" applyAlignment="1">
      <alignment horizontal="left" vertical="center"/>
    </xf>
    <xf numFmtId="0" fontId="61" fillId="0" borderId="0" xfId="159" applyFont="1" applyFill="1" applyAlignment="1">
      <alignment horizontal="left" vertical="center"/>
    </xf>
    <xf numFmtId="0" fontId="61" fillId="0" borderId="0" xfId="159" applyFont="1"/>
    <xf numFmtId="0" fontId="67" fillId="0" borderId="0" xfId="159" applyFont="1" applyAlignment="1">
      <alignment horizontal="left" vertical="center"/>
    </xf>
    <xf numFmtId="0" fontId="67" fillId="0" borderId="0" xfId="159" applyFont="1" applyFill="1" applyAlignment="1">
      <alignment wrapText="1"/>
    </xf>
    <xf numFmtId="0" fontId="61" fillId="0" borderId="0" xfId="159" applyFont="1" applyAlignment="1">
      <alignment horizontal="left"/>
    </xf>
    <xf numFmtId="0" fontId="61" fillId="0" borderId="0" xfId="159" applyFont="1" applyFill="1" applyAlignment="1">
      <alignment horizontal="left"/>
    </xf>
    <xf numFmtId="0" fontId="8" fillId="0" borderId="0" xfId="159" applyFont="1" applyAlignment="1">
      <alignment horizontal="left"/>
    </xf>
    <xf numFmtId="0" fontId="61" fillId="0" borderId="0" xfId="159" applyFont="1" applyFill="1"/>
    <xf numFmtId="0" fontId="108" fillId="0" borderId="0" xfId="121" applyFont="1" applyAlignment="1" applyProtection="1"/>
    <xf numFmtId="0" fontId="56" fillId="0" borderId="0" xfId="177" applyFont="1" applyAlignment="1">
      <alignment wrapText="1"/>
    </xf>
    <xf numFmtId="0" fontId="56" fillId="0" borderId="0" xfId="177" applyFont="1"/>
    <xf numFmtId="0" fontId="75" fillId="0" borderId="0" xfId="177" applyFont="1"/>
    <xf numFmtId="0" fontId="83" fillId="0" borderId="0" xfId="177" applyFont="1"/>
    <xf numFmtId="0" fontId="83" fillId="0" borderId="16" xfId="177" applyFont="1" applyFill="1" applyBorder="1" applyAlignment="1">
      <alignment horizontal="left" vertical="center" wrapText="1"/>
    </xf>
    <xf numFmtId="0" fontId="83" fillId="0" borderId="14" xfId="177" applyFont="1" applyFill="1" applyBorder="1" applyAlignment="1">
      <alignment vertical="center" wrapText="1"/>
    </xf>
    <xf numFmtId="0" fontId="67" fillId="0" borderId="15" xfId="177" applyFont="1" applyFill="1" applyBorder="1" applyAlignment="1">
      <alignment horizontal="left" vertical="center" wrapText="1" indent="2"/>
    </xf>
    <xf numFmtId="0" fontId="67" fillId="0" borderId="16" xfId="177" applyFont="1" applyFill="1" applyBorder="1" applyAlignment="1">
      <alignment horizontal="left" vertical="center" wrapText="1" indent="2"/>
    </xf>
    <xf numFmtId="0" fontId="83" fillId="0" borderId="24" xfId="177" applyFont="1" applyFill="1" applyBorder="1" applyAlignment="1">
      <alignment horizontal="left" vertical="center" wrapText="1"/>
    </xf>
    <xf numFmtId="0" fontId="56" fillId="0" borderId="0" xfId="177" applyFont="1" applyBorder="1" applyAlignment="1">
      <alignment wrapText="1"/>
    </xf>
    <xf numFmtId="0" fontId="56" fillId="0" borderId="0" xfId="177" applyFont="1" applyBorder="1" applyAlignment="1">
      <alignment horizontal="center" vertical="center" wrapText="1"/>
    </xf>
    <xf numFmtId="0" fontId="56" fillId="0" borderId="0" xfId="177" applyFont="1" applyBorder="1"/>
    <xf numFmtId="0" fontId="75" fillId="0" borderId="0" xfId="177" applyFont="1" applyBorder="1" applyAlignment="1"/>
    <xf numFmtId="0" fontId="110" fillId="0" borderId="0" xfId="121" applyFont="1" applyAlignment="1" applyProtection="1"/>
    <xf numFmtId="0" fontId="56" fillId="0" borderId="0" xfId="176" applyFont="1" applyAlignment="1">
      <alignment wrapText="1"/>
    </xf>
    <xf numFmtId="0" fontId="56" fillId="0" borderId="0" xfId="176" applyFont="1"/>
    <xf numFmtId="0" fontId="60" fillId="0" borderId="0" xfId="176" applyFont="1" applyAlignment="1">
      <alignment horizontal="centerContinuous" vertical="center" wrapText="1"/>
    </xf>
    <xf numFmtId="0" fontId="56" fillId="28" borderId="25" xfId="176" applyFont="1" applyFill="1" applyBorder="1" applyAlignment="1">
      <alignment horizontal="center"/>
    </xf>
    <xf numFmtId="0" fontId="36" fillId="0" borderId="0" xfId="151" applyFont="1" applyBorder="1" applyAlignment="1">
      <alignment horizontal="left" vertical="center"/>
    </xf>
    <xf numFmtId="0" fontId="36" fillId="0" borderId="27" xfId="151" applyFont="1" applyBorder="1" applyAlignment="1">
      <alignment horizontal="center" vertical="center"/>
    </xf>
    <xf numFmtId="0" fontId="36" fillId="0" borderId="27" xfId="151" applyFont="1" applyBorder="1" applyAlignment="1">
      <alignment horizontal="left" vertical="center"/>
    </xf>
    <xf numFmtId="0" fontId="53" fillId="0" borderId="27" xfId="151" applyFont="1" applyBorder="1" applyAlignment="1">
      <alignment horizontal="left" vertical="center"/>
    </xf>
    <xf numFmtId="0" fontId="36" fillId="0" borderId="28" xfId="151" applyFont="1" applyBorder="1" applyAlignment="1">
      <alignment horizontal="center" vertical="center"/>
    </xf>
    <xf numFmtId="0" fontId="36" fillId="0" borderId="28" xfId="151" applyFont="1" applyBorder="1" applyAlignment="1">
      <alignment horizontal="left" vertical="center"/>
    </xf>
    <xf numFmtId="0" fontId="53" fillId="0" borderId="28" xfId="151" applyFont="1" applyBorder="1" applyAlignment="1">
      <alignment horizontal="left" vertical="center"/>
    </xf>
    <xf numFmtId="0" fontId="111" fillId="0" borderId="28" xfId="151" applyFont="1" applyBorder="1" applyAlignment="1">
      <alignment horizontal="left" vertical="center" indent="1"/>
    </xf>
    <xf numFmtId="0" fontId="53" fillId="0" borderId="28" xfId="151" applyFont="1" applyBorder="1" applyAlignment="1">
      <alignment horizontal="center" vertical="center"/>
    </xf>
    <xf numFmtId="0" fontId="53" fillId="0" borderId="13" xfId="151" applyFont="1" applyBorder="1" applyAlignment="1">
      <alignment horizontal="center" vertical="center"/>
    </xf>
    <xf numFmtId="0" fontId="53" fillId="0" borderId="13" xfId="151" applyFont="1" applyBorder="1" applyAlignment="1">
      <alignment horizontal="left" vertical="center"/>
    </xf>
    <xf numFmtId="0" fontId="125" fillId="0" borderId="0" xfId="151" applyFont="1" applyBorder="1" applyAlignment="1">
      <alignment horizontal="left" vertical="center"/>
    </xf>
    <xf numFmtId="0" fontId="130" fillId="30" borderId="30" xfId="149" applyFont="1" applyFill="1" applyBorder="1" applyAlignment="1">
      <alignment horizontal="left" indent="3"/>
    </xf>
    <xf numFmtId="0" fontId="130" fillId="30" borderId="31" xfId="149" applyFont="1" applyFill="1" applyBorder="1" applyAlignment="1">
      <alignment horizontal="left" indent="3"/>
    </xf>
    <xf numFmtId="0" fontId="56" fillId="30" borderId="31" xfId="149" applyFont="1" applyFill="1" applyBorder="1"/>
    <xf numFmtId="0" fontId="56" fillId="30" borderId="32" xfId="149" applyFont="1" applyFill="1" applyBorder="1"/>
    <xf numFmtId="0" fontId="56" fillId="30" borderId="15" xfId="149" applyFont="1" applyFill="1" applyBorder="1" applyAlignment="1">
      <alignment horizontal="center"/>
    </xf>
    <xf numFmtId="0" fontId="56" fillId="30" borderId="16" xfId="149" applyFont="1" applyFill="1" applyBorder="1" applyAlignment="1">
      <alignment horizontal="center"/>
    </xf>
    <xf numFmtId="0" fontId="71" fillId="0" borderId="0" xfId="175" applyFont="1"/>
    <xf numFmtId="0" fontId="8" fillId="0" borderId="17" xfId="159" applyFont="1" applyBorder="1"/>
    <xf numFmtId="0" fontId="8" fillId="0" borderId="14" xfId="159" applyFont="1" applyBorder="1"/>
    <xf numFmtId="0" fontId="8" fillId="0" borderId="33" xfId="159" applyFont="1" applyFill="1" applyBorder="1" applyAlignment="1">
      <alignment vertical="center"/>
    </xf>
    <xf numFmtId="0" fontId="8" fillId="0" borderId="16" xfId="159" applyFont="1" applyFill="1" applyBorder="1" applyAlignment="1">
      <alignment vertical="center"/>
    </xf>
    <xf numFmtId="0" fontId="8" fillId="0" borderId="0" xfId="159" applyFont="1" applyFill="1" applyBorder="1" applyAlignment="1">
      <alignment vertical="center"/>
    </xf>
    <xf numFmtId="0" fontId="8" fillId="0" borderId="15" xfId="159" applyFont="1" applyFill="1" applyBorder="1" applyAlignment="1">
      <alignment vertical="center"/>
    </xf>
    <xf numFmtId="16" fontId="8" fillId="0" borderId="0" xfId="149" quotePrefix="1" applyNumberFormat="1" applyFont="1" applyFill="1" applyBorder="1" applyAlignment="1">
      <alignment horizontal="left" vertical="center" indent="2"/>
    </xf>
    <xf numFmtId="0" fontId="8" fillId="0" borderId="0" xfId="149" applyFont="1" applyFill="1" applyBorder="1" applyAlignment="1">
      <alignment horizontal="left" vertical="center" indent="2"/>
    </xf>
    <xf numFmtId="0" fontId="54" fillId="0" borderId="15" xfId="149" applyFont="1" applyFill="1" applyBorder="1" applyAlignment="1">
      <alignment horizontal="left" vertical="center" indent="2"/>
    </xf>
    <xf numFmtId="0" fontId="8" fillId="0" borderId="34" xfId="149" applyFont="1" applyFill="1" applyBorder="1" applyAlignment="1">
      <alignment horizontal="left" vertical="center" indent="2"/>
    </xf>
    <xf numFmtId="0" fontId="8" fillId="0" borderId="29" xfId="149" applyFont="1" applyFill="1" applyBorder="1" applyAlignment="1">
      <alignment horizontal="left" vertical="center" indent="2"/>
    </xf>
    <xf numFmtId="0" fontId="8" fillId="0" borderId="0" xfId="0" applyFont="1" applyFill="1" applyAlignment="1">
      <alignment vertical="center"/>
    </xf>
    <xf numFmtId="0" fontId="5" fillId="0" borderId="0" xfId="0" applyFont="1" applyFill="1" applyAlignment="1">
      <alignment vertical="center"/>
    </xf>
    <xf numFmtId="0" fontId="8" fillId="0" borderId="7" xfId="0" applyFont="1" applyFill="1" applyBorder="1" applyAlignment="1">
      <alignment horizontal="left" vertical="center" wrapText="1" indent="1"/>
    </xf>
    <xf numFmtId="0" fontId="8" fillId="0" borderId="7" xfId="0" applyFont="1" applyFill="1" applyBorder="1" applyAlignment="1">
      <alignment horizontal="left" vertical="center" wrapText="1" indent="2"/>
    </xf>
    <xf numFmtId="0" fontId="38" fillId="0" borderId="12" xfId="196" applyFont="1" applyFill="1" applyBorder="1" applyAlignment="1">
      <alignment horizontal="left" vertical="center" wrapText="1" indent="2"/>
    </xf>
    <xf numFmtId="49" fontId="37" fillId="0" borderId="7" xfId="196" applyNumberFormat="1" applyFont="1" applyFill="1" applyBorder="1" applyAlignment="1">
      <alignment horizontal="left" vertical="center" wrapText="1" indent="1"/>
    </xf>
    <xf numFmtId="49" fontId="113" fillId="0" borderId="7" xfId="196" applyNumberFormat="1" applyFont="1" applyFill="1" applyBorder="1" applyAlignment="1">
      <alignment horizontal="left" vertical="center" wrapText="1" indent="1"/>
    </xf>
    <xf numFmtId="0" fontId="113" fillId="0" borderId="7" xfId="196" applyNumberFormat="1" applyFont="1" applyFill="1" applyBorder="1" applyAlignment="1">
      <alignment horizontal="left" vertical="center" wrapText="1" indent="1"/>
    </xf>
    <xf numFmtId="49" fontId="113" fillId="0" borderId="12" xfId="196" applyNumberFormat="1" applyFont="1" applyFill="1" applyBorder="1" applyAlignment="1">
      <alignment horizontal="left" vertical="center" indent="1"/>
    </xf>
    <xf numFmtId="0" fontId="5" fillId="0" borderId="7" xfId="196" applyFont="1" applyFill="1" applyBorder="1" applyAlignment="1">
      <alignment horizontal="left" vertical="center" wrapText="1"/>
    </xf>
    <xf numFmtId="49" fontId="113" fillId="0" borderId="7" xfId="196" applyNumberFormat="1" applyFont="1" applyFill="1" applyBorder="1" applyAlignment="1">
      <alignment horizontal="left" vertical="center" indent="1"/>
    </xf>
    <xf numFmtId="0" fontId="8" fillId="0" borderId="7" xfId="196" applyFont="1" applyFill="1" applyBorder="1" applyAlignment="1">
      <alignment horizontal="left" vertical="center" wrapText="1" indent="2"/>
    </xf>
    <xf numFmtId="0" fontId="35" fillId="0" borderId="7" xfId="0" applyFont="1" applyFill="1" applyBorder="1" applyAlignment="1">
      <alignment horizontal="left" vertical="center"/>
    </xf>
    <xf numFmtId="49" fontId="113" fillId="0" borderId="7" xfId="0" applyNumberFormat="1" applyFont="1" applyFill="1" applyBorder="1" applyAlignment="1">
      <alignment horizontal="left" vertical="center" indent="1"/>
    </xf>
    <xf numFmtId="0" fontId="113" fillId="0" borderId="7" xfId="0" applyFont="1" applyFill="1" applyBorder="1" applyAlignment="1">
      <alignment horizontal="left" vertical="center" indent="1"/>
    </xf>
    <xf numFmtId="0" fontId="37" fillId="0" borderId="7" xfId="0" applyFont="1" applyFill="1" applyBorder="1" applyAlignment="1">
      <alignment horizontal="left" vertical="center" indent="1"/>
    </xf>
    <xf numFmtId="0" fontId="37" fillId="0" borderId="7" xfId="0" quotePrefix="1" applyFont="1" applyFill="1" applyBorder="1" applyAlignment="1">
      <alignment horizontal="left" vertical="center" indent="1"/>
    </xf>
    <xf numFmtId="0" fontId="113" fillId="0" borderId="12" xfId="0" applyFont="1" applyFill="1" applyBorder="1" applyAlignment="1">
      <alignment horizontal="left" vertical="center" indent="1"/>
    </xf>
    <xf numFmtId="49" fontId="37" fillId="0" borderId="7" xfId="196" applyNumberFormat="1" applyFont="1" applyFill="1" applyBorder="1" applyAlignment="1">
      <alignment horizontal="left" vertical="center" indent="1"/>
    </xf>
    <xf numFmtId="0" fontId="8" fillId="0" borderId="0" xfId="0" applyFont="1" applyFill="1" applyAlignment="1">
      <alignment horizontal="center" vertical="center" wrapText="1"/>
    </xf>
    <xf numFmtId="0" fontId="8" fillId="31" borderId="7" xfId="0" applyFont="1" applyFill="1" applyBorder="1" applyAlignment="1" applyProtection="1">
      <alignment horizontal="left" vertical="center" wrapText="1" indent="2"/>
    </xf>
    <xf numFmtId="0" fontId="5" fillId="30" borderId="35" xfId="0" applyFont="1" applyFill="1" applyBorder="1" applyAlignment="1">
      <alignment horizontal="center" vertical="top" wrapText="1"/>
    </xf>
    <xf numFmtId="0" fontId="131" fillId="0" borderId="0" xfId="0" applyFont="1" applyAlignment="1">
      <alignment vertical="center"/>
    </xf>
    <xf numFmtId="0" fontId="56" fillId="0" borderId="7" xfId="0" applyFont="1" applyFill="1" applyBorder="1" applyAlignment="1" applyProtection="1">
      <alignment horizontal="left" vertical="center" wrapText="1" indent="2"/>
    </xf>
    <xf numFmtId="0" fontId="56" fillId="0" borderId="7" xfId="0" applyFont="1" applyFill="1" applyBorder="1" applyAlignment="1" applyProtection="1">
      <alignment horizontal="left" vertical="center" wrapText="1" indent="1"/>
    </xf>
    <xf numFmtId="0" fontId="35" fillId="31" borderId="7" xfId="0" applyFont="1" applyFill="1" applyBorder="1" applyAlignment="1">
      <alignment horizontal="left" vertical="center"/>
    </xf>
    <xf numFmtId="0" fontId="37" fillId="0" borderId="7" xfId="0" applyFont="1" applyFill="1" applyBorder="1" applyAlignment="1">
      <alignment horizontal="left" vertical="center"/>
    </xf>
    <xf numFmtId="0" fontId="112" fillId="0" borderId="7" xfId="0" quotePrefix="1" applyFont="1" applyFill="1" applyBorder="1" applyAlignment="1">
      <alignment horizontal="left" vertical="center"/>
    </xf>
    <xf numFmtId="0" fontId="35" fillId="31" borderId="7" xfId="0" quotePrefix="1" applyFont="1" applyFill="1" applyBorder="1" applyAlignment="1">
      <alignment horizontal="left" vertical="center"/>
    </xf>
    <xf numFmtId="49" fontId="35" fillId="30" borderId="37" xfId="0" applyNumberFormat="1" applyFont="1" applyFill="1" applyBorder="1" applyAlignment="1">
      <alignment horizontal="center" vertical="center"/>
    </xf>
    <xf numFmtId="49" fontId="35" fillId="30" borderId="37" xfId="0" quotePrefix="1" applyNumberFormat="1" applyFont="1" applyFill="1" applyBorder="1" applyAlignment="1">
      <alignment horizontal="center" vertical="center"/>
    </xf>
    <xf numFmtId="0" fontId="35" fillId="30" borderId="37" xfId="0" applyFont="1" applyFill="1" applyBorder="1" applyAlignment="1">
      <alignment horizontal="center" vertical="center"/>
    </xf>
    <xf numFmtId="0" fontId="35" fillId="30" borderId="37" xfId="0" quotePrefix="1" applyFont="1" applyFill="1" applyBorder="1" applyAlignment="1">
      <alignment horizontal="center" vertical="center"/>
    </xf>
    <xf numFmtId="0" fontId="37" fillId="30" borderId="37" xfId="0" applyFont="1" applyFill="1" applyBorder="1" applyAlignment="1">
      <alignment horizontal="center" vertical="center"/>
    </xf>
    <xf numFmtId="0" fontId="37" fillId="30" borderId="37" xfId="0" quotePrefix="1" applyFont="1" applyFill="1" applyBorder="1" applyAlignment="1">
      <alignment horizontal="center" vertical="center"/>
    </xf>
    <xf numFmtId="49" fontId="113" fillId="30" borderId="37" xfId="196" applyNumberFormat="1" applyFont="1" applyFill="1" applyBorder="1" applyAlignment="1">
      <alignment horizontal="center" vertical="center" wrapText="1"/>
    </xf>
    <xf numFmtId="49" fontId="113" fillId="30" borderId="37" xfId="196" quotePrefix="1" applyNumberFormat="1" applyFont="1" applyFill="1" applyBorder="1" applyAlignment="1">
      <alignment horizontal="center" vertical="center" wrapText="1"/>
    </xf>
    <xf numFmtId="49" fontId="113" fillId="30" borderId="38" xfId="196" applyNumberFormat="1" applyFont="1" applyFill="1" applyBorder="1" applyAlignment="1">
      <alignment horizontal="center" vertical="center" wrapText="1"/>
    </xf>
    <xf numFmtId="49" fontId="113" fillId="30" borderId="37" xfId="0" applyNumberFormat="1" applyFont="1" applyFill="1" applyBorder="1" applyAlignment="1">
      <alignment horizontal="center" vertical="center"/>
    </xf>
    <xf numFmtId="49" fontId="113" fillId="30" borderId="37" xfId="0" quotePrefix="1" applyNumberFormat="1" applyFont="1" applyFill="1" applyBorder="1" applyAlignment="1">
      <alignment horizontal="center" vertical="center"/>
    </xf>
    <xf numFmtId="49" fontId="113" fillId="30" borderId="38" xfId="0" quotePrefix="1" applyNumberFormat="1" applyFont="1" applyFill="1" applyBorder="1" applyAlignment="1">
      <alignment horizontal="center" vertical="center"/>
    </xf>
    <xf numFmtId="49" fontId="37" fillId="30" borderId="37" xfId="0" applyNumberFormat="1" applyFont="1" applyFill="1" applyBorder="1" applyAlignment="1">
      <alignment horizontal="center" vertical="center" wrapText="1"/>
    </xf>
    <xf numFmtId="49" fontId="37" fillId="30" borderId="38" xfId="0" applyNumberFormat="1" applyFont="1" applyFill="1" applyBorder="1" applyAlignment="1">
      <alignment horizontal="center" vertical="center" wrapText="1"/>
    </xf>
    <xf numFmtId="0" fontId="5" fillId="30" borderId="39" xfId="0" applyFont="1" applyFill="1" applyBorder="1" applyAlignment="1">
      <alignment horizontal="center" vertical="center" wrapText="1"/>
    </xf>
    <xf numFmtId="0" fontId="5" fillId="30" borderId="40" xfId="0" applyFont="1" applyFill="1" applyBorder="1" applyAlignment="1">
      <alignment horizontal="center" vertical="center" wrapText="1"/>
    </xf>
    <xf numFmtId="49" fontId="37" fillId="30" borderId="7" xfId="0" applyNumberFormat="1" applyFont="1" applyFill="1" applyBorder="1" applyAlignment="1">
      <alignment horizontal="center" vertical="center" wrapText="1"/>
    </xf>
    <xf numFmtId="49" fontId="37" fillId="30" borderId="41" xfId="0" applyNumberFormat="1" applyFont="1" applyFill="1" applyBorder="1" applyAlignment="1">
      <alignment horizontal="center" vertical="center" wrapText="1"/>
    </xf>
    <xf numFmtId="49" fontId="37" fillId="30" borderId="42" xfId="0" applyNumberFormat="1" applyFont="1" applyFill="1" applyBorder="1" applyAlignment="1">
      <alignment horizontal="center" vertical="center" wrapText="1"/>
    </xf>
    <xf numFmtId="49" fontId="37" fillId="30" borderId="37" xfId="0" quotePrefix="1" applyNumberFormat="1" applyFont="1" applyFill="1" applyBorder="1" applyAlignment="1">
      <alignment horizontal="center" vertical="center" wrapText="1"/>
    </xf>
    <xf numFmtId="0" fontId="37" fillId="0" borderId="0" xfId="178" applyFont="1"/>
    <xf numFmtId="0" fontId="75" fillId="0" borderId="0" xfId="178" applyFont="1"/>
    <xf numFmtId="0" fontId="75" fillId="30" borderId="0" xfId="178" applyFont="1" applyFill="1" applyBorder="1"/>
    <xf numFmtId="0" fontId="57" fillId="31" borderId="0" xfId="178" applyFont="1" applyFill="1" applyBorder="1" applyAlignment="1">
      <alignment horizontal="left" vertical="center" indent="5"/>
    </xf>
    <xf numFmtId="0" fontId="61" fillId="31" borderId="0" xfId="178" applyFont="1" applyFill="1" applyBorder="1"/>
    <xf numFmtId="0" fontId="57" fillId="31" borderId="43" xfId="178" applyFont="1" applyFill="1" applyBorder="1" applyAlignment="1">
      <alignment horizontal="left" vertical="center" indent="5"/>
    </xf>
    <xf numFmtId="0" fontId="5" fillId="27" borderId="13" xfId="171" applyFont="1" applyFill="1" applyBorder="1" applyAlignment="1">
      <alignment vertical="center" wrapText="1"/>
    </xf>
    <xf numFmtId="0" fontId="5" fillId="0" borderId="7" xfId="171" applyFont="1" applyFill="1" applyBorder="1" applyAlignment="1">
      <alignment vertical="center" wrapText="1"/>
    </xf>
    <xf numFmtId="0" fontId="5" fillId="30" borderId="44" xfId="171" applyFont="1" applyFill="1" applyBorder="1" applyAlignment="1">
      <alignment vertical="center" wrapText="1"/>
    </xf>
    <xf numFmtId="0" fontId="5" fillId="30" borderId="45" xfId="171" applyFont="1" applyFill="1" applyBorder="1" applyAlignment="1">
      <alignment horizontal="center"/>
    </xf>
    <xf numFmtId="0" fontId="5" fillId="30" borderId="46" xfId="171" applyFont="1" applyFill="1" applyBorder="1" applyAlignment="1">
      <alignment vertical="center" wrapText="1"/>
    </xf>
    <xf numFmtId="0" fontId="5" fillId="30" borderId="47" xfId="171" applyFont="1" applyFill="1" applyBorder="1" applyAlignment="1">
      <alignment vertical="center" wrapText="1"/>
    </xf>
    <xf numFmtId="0" fontId="5" fillId="30" borderId="15" xfId="171" applyFont="1" applyFill="1" applyBorder="1" applyAlignment="1">
      <alignment vertical="center" wrapText="1"/>
    </xf>
    <xf numFmtId="0" fontId="37" fillId="30" borderId="42" xfId="171" quotePrefix="1" applyFont="1" applyFill="1" applyBorder="1" applyAlignment="1">
      <alignment horizontal="center" vertical="center" wrapText="1"/>
    </xf>
    <xf numFmtId="0" fontId="37" fillId="30" borderId="37" xfId="171" quotePrefix="1" applyFont="1" applyFill="1" applyBorder="1" applyAlignment="1">
      <alignment horizontal="center" vertical="center" wrapText="1"/>
    </xf>
    <xf numFmtId="0" fontId="37" fillId="30" borderId="48" xfId="171" quotePrefix="1" applyFont="1" applyFill="1" applyBorder="1" applyAlignment="1">
      <alignment horizontal="center" vertical="center" wrapText="1"/>
    </xf>
    <xf numFmtId="49" fontId="37" fillId="30" borderId="37" xfId="171" applyNumberFormat="1" applyFont="1" applyFill="1" applyBorder="1" applyAlignment="1">
      <alignment horizontal="center" vertical="center" wrapText="1"/>
    </xf>
    <xf numFmtId="9" fontId="5" fillId="0" borderId="23" xfId="171" applyNumberFormat="1" applyFont="1" applyFill="1" applyBorder="1" applyAlignment="1">
      <alignment vertical="center" wrapText="1"/>
    </xf>
    <xf numFmtId="9" fontId="5" fillId="0" borderId="49" xfId="171" applyNumberFormat="1" applyFont="1" applyFill="1" applyBorder="1" applyAlignment="1">
      <alignment vertical="center" wrapText="1"/>
    </xf>
    <xf numFmtId="0" fontId="56" fillId="30" borderId="7" xfId="149" quotePrefix="1" applyFont="1" applyFill="1" applyBorder="1" applyAlignment="1">
      <alignment horizontal="center" vertical="center"/>
    </xf>
    <xf numFmtId="0" fontId="56" fillId="30" borderId="7" xfId="0" quotePrefix="1" applyFont="1" applyFill="1" applyBorder="1" applyAlignment="1">
      <alignment horizontal="center" vertical="center"/>
    </xf>
    <xf numFmtId="0" fontId="75" fillId="30" borderId="7" xfId="149" applyFont="1" applyFill="1" applyBorder="1" applyAlignment="1">
      <alignment horizontal="center" vertical="center" wrapText="1"/>
    </xf>
    <xf numFmtId="0" fontId="75" fillId="30" borderId="7" xfId="0" applyFont="1" applyFill="1" applyBorder="1" applyAlignment="1">
      <alignment horizontal="center" vertical="center" wrapText="1"/>
    </xf>
    <xf numFmtId="0" fontId="75" fillId="30" borderId="27" xfId="0" applyFont="1" applyFill="1" applyBorder="1" applyAlignment="1">
      <alignment horizontal="center" vertical="center" wrapText="1"/>
    </xf>
    <xf numFmtId="0" fontId="61" fillId="30" borderId="36" xfId="175" quotePrefix="1" applyFont="1" applyFill="1" applyBorder="1" applyAlignment="1">
      <alignment horizontal="center" vertical="center"/>
    </xf>
    <xf numFmtId="0" fontId="61" fillId="30" borderId="36" xfId="175" applyFont="1" applyFill="1" applyBorder="1" applyAlignment="1">
      <alignment horizontal="center" vertical="center"/>
    </xf>
    <xf numFmtId="0" fontId="61" fillId="30" borderId="7" xfId="175" quotePrefix="1" applyFont="1" applyFill="1" applyBorder="1" applyAlignment="1">
      <alignment horizontal="center" vertical="center" wrapText="1"/>
    </xf>
    <xf numFmtId="0" fontId="61" fillId="30" borderId="49" xfId="175" quotePrefix="1" applyFont="1" applyFill="1" applyBorder="1" applyAlignment="1">
      <alignment horizontal="center" vertical="center"/>
    </xf>
    <xf numFmtId="0" fontId="57" fillId="30" borderId="7" xfId="175" applyFont="1" applyFill="1" applyBorder="1" applyAlignment="1">
      <alignment horizontal="center" vertical="center" wrapText="1"/>
    </xf>
    <xf numFmtId="0" fontId="57" fillId="30" borderId="27" xfId="175" applyFont="1" applyFill="1" applyBorder="1" applyAlignment="1">
      <alignment horizontal="center" vertical="center" wrapText="1"/>
    </xf>
    <xf numFmtId="0" fontId="57" fillId="30" borderId="8" xfId="175" applyFont="1" applyFill="1" applyBorder="1" applyAlignment="1">
      <alignment horizontal="center" vertical="center" wrapText="1"/>
    </xf>
    <xf numFmtId="0" fontId="75" fillId="30" borderId="41" xfId="149" applyFont="1" applyFill="1" applyBorder="1" applyAlignment="1">
      <alignment horizontal="center" vertical="center" wrapText="1"/>
    </xf>
    <xf numFmtId="0" fontId="56" fillId="30" borderId="41" xfId="149" quotePrefix="1" applyFont="1" applyFill="1" applyBorder="1" applyAlignment="1">
      <alignment horizontal="center" vertical="center"/>
    </xf>
    <xf numFmtId="0" fontId="8" fillId="30" borderId="43" xfId="159" applyFont="1" applyFill="1" applyBorder="1"/>
    <xf numFmtId="0" fontId="8" fillId="30" borderId="0" xfId="159" applyFont="1" applyFill="1" applyBorder="1"/>
    <xf numFmtId="0" fontId="5" fillId="30" borderId="13" xfId="159" applyFont="1" applyFill="1" applyBorder="1" applyAlignment="1">
      <alignment horizontal="center" vertical="center"/>
    </xf>
    <xf numFmtId="0" fontId="56" fillId="30" borderId="44" xfId="149" applyFont="1" applyFill="1" applyBorder="1" applyAlignment="1">
      <alignment horizontal="center"/>
    </xf>
    <xf numFmtId="0" fontId="56" fillId="30" borderId="37" xfId="149" quotePrefix="1" applyFont="1" applyFill="1" applyBorder="1" applyAlignment="1">
      <alignment horizontal="center" vertical="center" wrapText="1"/>
    </xf>
    <xf numFmtId="0" fontId="56" fillId="30" borderId="37" xfId="149" quotePrefix="1" applyFont="1" applyFill="1" applyBorder="1" applyAlignment="1">
      <alignment horizontal="center" vertical="center"/>
    </xf>
    <xf numFmtId="0" fontId="56" fillId="30" borderId="38" xfId="149" quotePrefix="1" applyFont="1" applyFill="1" applyBorder="1" applyAlignment="1">
      <alignment horizontal="center" vertical="center"/>
    </xf>
    <xf numFmtId="0" fontId="61" fillId="30" borderId="37" xfId="175" quotePrefix="1" applyFont="1" applyFill="1" applyBorder="1" applyAlignment="1">
      <alignment horizontal="center" vertical="center" wrapText="1"/>
    </xf>
    <xf numFmtId="0" fontId="61" fillId="30" borderId="38" xfId="175" quotePrefix="1" applyFont="1" applyFill="1" applyBorder="1" applyAlignment="1">
      <alignment horizontal="center" vertical="center" wrapText="1"/>
    </xf>
    <xf numFmtId="0" fontId="56" fillId="30" borderId="28" xfId="159" quotePrefix="1" applyFont="1" applyFill="1" applyBorder="1" applyAlignment="1">
      <alignment horizontal="center"/>
    </xf>
    <xf numFmtId="49" fontId="56" fillId="30" borderId="28" xfId="159" quotePrefix="1" applyNumberFormat="1" applyFont="1" applyFill="1" applyBorder="1" applyAlignment="1">
      <alignment horizontal="center"/>
    </xf>
    <xf numFmtId="49" fontId="56" fillId="30" borderId="50" xfId="159" quotePrefix="1" applyNumberFormat="1" applyFont="1" applyFill="1" applyBorder="1" applyAlignment="1">
      <alignment horizontal="center"/>
    </xf>
    <xf numFmtId="49" fontId="56" fillId="30" borderId="27" xfId="159" quotePrefix="1" applyNumberFormat="1" applyFont="1" applyFill="1" applyBorder="1" applyAlignment="1">
      <alignment horizontal="center"/>
    </xf>
    <xf numFmtId="49" fontId="56" fillId="30" borderId="41" xfId="159" applyNumberFormat="1" applyFont="1" applyFill="1" applyBorder="1" applyAlignment="1">
      <alignment horizontal="center"/>
    </xf>
    <xf numFmtId="0" fontId="56" fillId="30" borderId="42" xfId="159" quotePrefix="1" applyFont="1" applyFill="1" applyBorder="1" applyAlignment="1">
      <alignment horizontal="center" vertical="center"/>
    </xf>
    <xf numFmtId="0" fontId="56" fillId="30" borderId="37" xfId="159" quotePrefix="1" applyFont="1" applyFill="1" applyBorder="1" applyAlignment="1">
      <alignment horizontal="center" vertical="center"/>
    </xf>
    <xf numFmtId="0" fontId="8" fillId="0" borderId="17" xfId="159" applyFont="1" applyFill="1" applyBorder="1"/>
    <xf numFmtId="0" fontId="56" fillId="30" borderId="38" xfId="159" quotePrefix="1" applyFont="1" applyFill="1" applyBorder="1" applyAlignment="1">
      <alignment horizontal="center" vertical="center"/>
    </xf>
    <xf numFmtId="0" fontId="8" fillId="30" borderId="51" xfId="159" applyFont="1" applyFill="1" applyBorder="1"/>
    <xf numFmtId="0" fontId="8" fillId="30" borderId="52" xfId="159" applyFont="1" applyFill="1" applyBorder="1"/>
    <xf numFmtId="0" fontId="56" fillId="0" borderId="0" xfId="159" applyFont="1" applyFill="1" applyBorder="1" applyAlignment="1">
      <alignment horizontal="center"/>
    </xf>
    <xf numFmtId="0" fontId="56" fillId="0" borderId="0" xfId="159" quotePrefix="1" applyFont="1" applyBorder="1" applyAlignment="1">
      <alignment horizontal="center"/>
    </xf>
    <xf numFmtId="0" fontId="56" fillId="0" borderId="0" xfId="159" quotePrefix="1" applyFont="1" applyBorder="1" applyAlignment="1">
      <alignment horizontal="center" wrapText="1"/>
    </xf>
    <xf numFmtId="0" fontId="56" fillId="0" borderId="0" xfId="159" applyFont="1" applyAlignment="1">
      <alignment wrapText="1"/>
    </xf>
    <xf numFmtId="0" fontId="56" fillId="0" borderId="0" xfId="159" applyFont="1" applyBorder="1" applyAlignment="1">
      <alignment horizontal="center"/>
    </xf>
    <xf numFmtId="0" fontId="68" fillId="0" borderId="0" xfId="159" applyFont="1" applyAlignment="1">
      <alignment horizontal="center"/>
    </xf>
    <xf numFmtId="0" fontId="68" fillId="0" borderId="0" xfId="159" applyFont="1"/>
    <xf numFmtId="0" fontId="83" fillId="30" borderId="7" xfId="0" applyFont="1" applyFill="1" applyBorder="1" applyAlignment="1">
      <alignment horizontal="center" vertical="center"/>
    </xf>
    <xf numFmtId="0" fontId="83" fillId="30" borderId="8" xfId="159" applyFont="1" applyFill="1" applyBorder="1" applyAlignment="1">
      <alignment horizontal="center" vertical="center" wrapText="1"/>
    </xf>
    <xf numFmtId="49" fontId="67" fillId="30" borderId="7" xfId="159" quotePrefix="1" applyNumberFormat="1" applyFont="1" applyFill="1" applyBorder="1" applyAlignment="1">
      <alignment horizontal="center" vertical="center"/>
    </xf>
    <xf numFmtId="0" fontId="5" fillId="0" borderId="53" xfId="159" applyFont="1" applyBorder="1"/>
    <xf numFmtId="0" fontId="8" fillId="0" borderId="50" xfId="159" applyFont="1" applyFill="1" applyBorder="1"/>
    <xf numFmtId="0" fontId="8" fillId="0" borderId="50" xfId="159" applyFont="1" applyFill="1" applyBorder="1" applyAlignment="1">
      <alignment vertical="center"/>
    </xf>
    <xf numFmtId="0" fontId="8" fillId="0" borderId="50" xfId="149" applyFont="1" applyFill="1" applyBorder="1" applyAlignment="1">
      <alignment horizontal="left" vertical="center" indent="3"/>
    </xf>
    <xf numFmtId="0" fontId="8" fillId="0" borderId="54" xfId="149" applyFont="1" applyFill="1" applyBorder="1" applyAlignment="1">
      <alignment horizontal="left" vertical="center" indent="3"/>
    </xf>
    <xf numFmtId="0" fontId="8" fillId="0" borderId="53" xfId="159" applyFont="1" applyFill="1" applyBorder="1"/>
    <xf numFmtId="0" fontId="8" fillId="0" borderId="55" xfId="159" applyFont="1" applyFill="1" applyBorder="1" applyAlignment="1">
      <alignment vertical="center"/>
    </xf>
    <xf numFmtId="0" fontId="67" fillId="30" borderId="43" xfId="159" applyFont="1" applyFill="1" applyBorder="1"/>
    <xf numFmtId="0" fontId="67" fillId="30" borderId="0" xfId="159" applyFont="1" applyFill="1" applyBorder="1"/>
    <xf numFmtId="0" fontId="67" fillId="30" borderId="33" xfId="159" applyFont="1" applyFill="1" applyBorder="1"/>
    <xf numFmtId="49" fontId="56" fillId="30" borderId="7" xfId="159" quotePrefix="1" applyNumberFormat="1" applyFont="1" applyFill="1" applyBorder="1" applyAlignment="1">
      <alignment horizontal="center" vertical="center"/>
    </xf>
    <xf numFmtId="49" fontId="56" fillId="30" borderId="8" xfId="159" quotePrefix="1" applyNumberFormat="1" applyFont="1" applyFill="1" applyBorder="1" applyAlignment="1">
      <alignment horizontal="center" vertical="center"/>
    </xf>
    <xf numFmtId="49" fontId="56" fillId="30" borderId="49" xfId="159" applyNumberFormat="1" applyFont="1" applyFill="1" applyBorder="1" applyAlignment="1">
      <alignment horizontal="center" vertical="center"/>
    </xf>
    <xf numFmtId="49" fontId="56" fillId="30" borderId="37" xfId="159" applyNumberFormat="1" applyFont="1" applyFill="1" applyBorder="1" applyAlignment="1">
      <alignment horizontal="center" vertical="center"/>
    </xf>
    <xf numFmtId="49" fontId="56" fillId="30" borderId="37" xfId="159" applyNumberFormat="1" applyFont="1" applyFill="1" applyBorder="1" applyAlignment="1">
      <alignment horizontal="center" vertical="center" wrapText="1"/>
    </xf>
    <xf numFmtId="0" fontId="60" fillId="31" borderId="0" xfId="159" applyFont="1" applyFill="1" applyAlignment="1">
      <alignment vertical="center"/>
    </xf>
    <xf numFmtId="0" fontId="60" fillId="31" borderId="0" xfId="159" applyFont="1" applyFill="1" applyBorder="1" applyAlignment="1">
      <alignment horizontal="left" vertical="center" indent="1"/>
    </xf>
    <xf numFmtId="0" fontId="57" fillId="0" borderId="7" xfId="149" applyFont="1" applyFill="1" applyBorder="1"/>
    <xf numFmtId="0" fontId="83" fillId="30" borderId="56" xfId="159" applyFont="1" applyFill="1" applyBorder="1"/>
    <xf numFmtId="0" fontId="83" fillId="30" borderId="7" xfId="159" applyFont="1" applyFill="1" applyBorder="1" applyAlignment="1">
      <alignment horizontal="center" vertical="center"/>
    </xf>
    <xf numFmtId="49" fontId="67" fillId="30" borderId="13" xfId="159" quotePrefix="1" applyNumberFormat="1" applyFont="1" applyFill="1" applyBorder="1" applyAlignment="1">
      <alignment horizontal="center" vertical="center"/>
    </xf>
    <xf numFmtId="49" fontId="67" fillId="30" borderId="57" xfId="159" applyNumberFormat="1" applyFont="1" applyFill="1" applyBorder="1" applyAlignment="1">
      <alignment horizontal="center" vertical="center"/>
    </xf>
    <xf numFmtId="0" fontId="67" fillId="30" borderId="37" xfId="159" quotePrefix="1" applyFont="1" applyFill="1" applyBorder="1" applyAlignment="1">
      <alignment horizontal="center" vertical="center"/>
    </xf>
    <xf numFmtId="49" fontId="67" fillId="30" borderId="37" xfId="159" applyNumberFormat="1" applyFont="1" applyFill="1" applyBorder="1" applyAlignment="1">
      <alignment horizontal="center" vertical="center"/>
    </xf>
    <xf numFmtId="49" fontId="67" fillId="30" borderId="37" xfId="149" applyNumberFormat="1" applyFont="1" applyFill="1" applyBorder="1" applyAlignment="1">
      <alignment horizontal="center" vertical="center"/>
    </xf>
    <xf numFmtId="49" fontId="67" fillId="30" borderId="38" xfId="149" applyNumberFormat="1" applyFont="1" applyFill="1" applyBorder="1" applyAlignment="1">
      <alignment horizontal="center" vertical="center"/>
    </xf>
    <xf numFmtId="0" fontId="56" fillId="30" borderId="52" xfId="159" applyFont="1" applyFill="1" applyBorder="1" applyAlignment="1">
      <alignment horizontal="center"/>
    </xf>
    <xf numFmtId="0" fontId="67" fillId="30" borderId="15" xfId="159" applyFont="1" applyFill="1" applyBorder="1"/>
    <xf numFmtId="0" fontId="56" fillId="30" borderId="58" xfId="159" applyFont="1" applyFill="1" applyBorder="1" applyAlignment="1">
      <alignment horizontal="center" vertical="center"/>
    </xf>
    <xf numFmtId="0" fontId="67" fillId="30" borderId="33" xfId="159" applyFont="1" applyFill="1" applyBorder="1" applyAlignment="1">
      <alignment horizontal="center" vertical="center"/>
    </xf>
    <xf numFmtId="0" fontId="67" fillId="30" borderId="16" xfId="159" applyFont="1" applyFill="1" applyBorder="1" applyAlignment="1">
      <alignment horizontal="center" vertical="center"/>
    </xf>
    <xf numFmtId="0" fontId="56" fillId="30" borderId="48" xfId="159" quotePrefix="1" applyFont="1" applyFill="1" applyBorder="1" applyAlignment="1">
      <alignment horizontal="center" vertical="center"/>
    </xf>
    <xf numFmtId="0" fontId="67" fillId="30" borderId="44" xfId="159" applyFont="1" applyFill="1" applyBorder="1"/>
    <xf numFmtId="0" fontId="87" fillId="0" borderId="0" xfId="163" applyFont="1" applyAlignment="1">
      <alignment horizontal="left" vertical="center" indent="1"/>
    </xf>
    <xf numFmtId="9" fontId="77" fillId="30" borderId="13" xfId="163" applyNumberFormat="1" applyFont="1" applyFill="1" applyBorder="1" applyAlignment="1">
      <alignment horizontal="center" vertical="center" wrapText="1"/>
    </xf>
    <xf numFmtId="9" fontId="77" fillId="30" borderId="0" xfId="163" applyNumberFormat="1" applyFont="1" applyFill="1" applyBorder="1" applyAlignment="1">
      <alignment horizontal="center" vertical="center" wrapText="1"/>
    </xf>
    <xf numFmtId="0" fontId="77" fillId="30" borderId="27" xfId="163" applyFont="1" applyFill="1" applyBorder="1" applyAlignment="1">
      <alignment horizontal="center" vertical="center" wrapText="1"/>
    </xf>
    <xf numFmtId="49" fontId="91" fillId="30" borderId="27" xfId="163" applyNumberFormat="1" applyFont="1" applyFill="1" applyBorder="1" applyAlignment="1">
      <alignment horizontal="center" vertical="center" wrapText="1"/>
    </xf>
    <xf numFmtId="49" fontId="91" fillId="30" borderId="59" xfId="163" applyNumberFormat="1" applyFont="1" applyFill="1" applyBorder="1" applyAlignment="1">
      <alignment horizontal="center" vertical="center" wrapText="1"/>
    </xf>
    <xf numFmtId="49" fontId="91" fillId="30" borderId="37" xfId="163" applyNumberFormat="1" applyFont="1" applyFill="1" applyBorder="1" applyAlignment="1">
      <alignment horizontal="center" vertical="center"/>
    </xf>
    <xf numFmtId="49" fontId="91" fillId="30" borderId="37" xfId="163" applyNumberFormat="1" applyFont="1" applyFill="1" applyBorder="1" applyAlignment="1">
      <alignment horizontal="center" vertical="center" wrapText="1"/>
    </xf>
    <xf numFmtId="49" fontId="91" fillId="30" borderId="38" xfId="163" applyNumberFormat="1" applyFont="1" applyFill="1" applyBorder="1" applyAlignment="1">
      <alignment horizontal="center" vertical="center" wrapText="1"/>
    </xf>
    <xf numFmtId="0" fontId="101" fillId="30" borderId="31" xfId="196" applyFont="1" applyFill="1" applyBorder="1" applyAlignment="1">
      <alignment horizontal="left" vertical="center" indent="1"/>
    </xf>
    <xf numFmtId="0" fontId="101" fillId="0" borderId="0" xfId="196" applyFont="1" applyAlignment="1">
      <alignment horizontal="left" vertical="center" indent="1"/>
    </xf>
    <xf numFmtId="0" fontId="62" fillId="30" borderId="31" xfId="196" applyFont="1" applyFill="1" applyBorder="1" applyAlignment="1">
      <alignment horizontal="left" vertical="center" indent="1"/>
    </xf>
    <xf numFmtId="49" fontId="91" fillId="30" borderId="27" xfId="196" applyNumberFormat="1" applyFont="1" applyFill="1" applyBorder="1" applyAlignment="1">
      <alignment horizontal="center" vertical="center" wrapText="1"/>
    </xf>
    <xf numFmtId="49" fontId="91" fillId="30" borderId="7" xfId="196" applyNumberFormat="1" applyFont="1" applyFill="1" applyBorder="1" applyAlignment="1">
      <alignment horizontal="center" vertical="center" wrapText="1"/>
    </xf>
    <xf numFmtId="9" fontId="77" fillId="30" borderId="0" xfId="196" applyNumberFormat="1" applyFont="1" applyFill="1" applyBorder="1" applyAlignment="1">
      <alignment horizontal="center" vertical="center" wrapText="1"/>
    </xf>
    <xf numFmtId="9" fontId="77" fillId="30" borderId="36" xfId="196" applyNumberFormat="1" applyFont="1" applyFill="1" applyBorder="1" applyAlignment="1">
      <alignment horizontal="center" vertical="center" wrapText="1"/>
    </xf>
    <xf numFmtId="0" fontId="77" fillId="30" borderId="8" xfId="196" applyFont="1" applyFill="1" applyBorder="1" applyAlignment="1">
      <alignment horizontal="center" vertical="center" wrapText="1"/>
    </xf>
    <xf numFmtId="0" fontId="116" fillId="30" borderId="7" xfId="196" applyFont="1" applyFill="1" applyBorder="1" applyAlignment="1">
      <alignment horizontal="center" vertical="center" wrapText="1"/>
    </xf>
    <xf numFmtId="49" fontId="91" fillId="30" borderId="59" xfId="196" applyNumberFormat="1" applyFont="1" applyFill="1" applyBorder="1" applyAlignment="1">
      <alignment horizontal="center" vertical="center" wrapText="1"/>
    </xf>
    <xf numFmtId="49" fontId="91" fillId="30" borderId="37" xfId="196" applyNumberFormat="1" applyFont="1" applyFill="1" applyBorder="1" applyAlignment="1">
      <alignment horizontal="center" vertical="center"/>
    </xf>
    <xf numFmtId="49" fontId="91" fillId="30" borderId="37" xfId="196" applyNumberFormat="1" applyFont="1" applyFill="1" applyBorder="1" applyAlignment="1">
      <alignment horizontal="center" vertical="center" wrapText="1"/>
    </xf>
    <xf numFmtId="49" fontId="91" fillId="30" borderId="38" xfId="196" applyNumberFormat="1" applyFont="1" applyFill="1" applyBorder="1" applyAlignment="1">
      <alignment horizontal="center" vertical="center" wrapText="1"/>
    </xf>
    <xf numFmtId="0" fontId="75" fillId="31" borderId="7" xfId="149" applyFont="1" applyFill="1" applyBorder="1" applyAlignment="1">
      <alignment horizontal="left" vertical="center" indent="1"/>
    </xf>
    <xf numFmtId="0" fontId="75" fillId="31" borderId="12" xfId="149" applyFont="1" applyFill="1" applyBorder="1" applyAlignment="1">
      <alignment horizontal="left" vertical="center" indent="1"/>
    </xf>
    <xf numFmtId="0" fontId="83" fillId="0" borderId="8" xfId="159" applyFont="1" applyFill="1" applyBorder="1" applyAlignment="1">
      <alignment vertical="center"/>
    </xf>
    <xf numFmtId="0" fontId="67" fillId="0" borderId="23" xfId="159" applyFont="1" applyFill="1" applyBorder="1" applyAlignment="1">
      <alignment vertical="center"/>
    </xf>
    <xf numFmtId="0" fontId="67" fillId="0" borderId="36" xfId="159" applyFont="1" applyFill="1" applyBorder="1" applyAlignment="1">
      <alignment vertical="center"/>
    </xf>
    <xf numFmtId="0" fontId="67" fillId="0" borderId="8" xfId="159" applyFont="1" applyFill="1" applyBorder="1" applyAlignment="1">
      <alignment vertical="center"/>
    </xf>
    <xf numFmtId="0" fontId="56" fillId="0" borderId="23" xfId="159" applyFont="1" applyBorder="1"/>
    <xf numFmtId="0" fontId="67" fillId="0" borderId="8" xfId="149" applyFont="1" applyFill="1" applyBorder="1" applyAlignment="1">
      <alignment horizontal="left" vertical="center" indent="1"/>
    </xf>
    <xf numFmtId="16" fontId="67" fillId="0" borderId="23" xfId="149" quotePrefix="1" applyNumberFormat="1" applyFont="1" applyFill="1" applyBorder="1" applyAlignment="1">
      <alignment vertical="center"/>
    </xf>
    <xf numFmtId="0" fontId="67" fillId="0" borderId="23" xfId="149" applyFont="1" applyFill="1" applyBorder="1" applyAlignment="1">
      <alignment vertical="center"/>
    </xf>
    <xf numFmtId="0" fontId="85" fillId="0" borderId="36" xfId="149" applyFont="1" applyFill="1" applyBorder="1" applyAlignment="1">
      <alignment vertical="center"/>
    </xf>
    <xf numFmtId="0" fontId="67" fillId="0" borderId="60" xfId="149" applyFont="1" applyFill="1" applyBorder="1" applyAlignment="1">
      <alignment horizontal="left" vertical="center" indent="1"/>
    </xf>
    <xf numFmtId="0" fontId="67" fillId="0" borderId="61" xfId="149" applyFont="1" applyFill="1" applyBorder="1" applyAlignment="1">
      <alignment vertical="center"/>
    </xf>
    <xf numFmtId="0" fontId="67" fillId="0" borderId="24" xfId="149" applyFont="1" applyFill="1" applyBorder="1" applyAlignment="1">
      <alignment vertical="center"/>
    </xf>
    <xf numFmtId="0" fontId="93" fillId="31" borderId="23" xfId="163" applyFont="1" applyFill="1" applyBorder="1" applyAlignment="1">
      <alignment horizontal="left" vertical="center" wrapText="1"/>
    </xf>
    <xf numFmtId="0" fontId="71" fillId="31" borderId="36" xfId="163" applyFont="1" applyFill="1" applyBorder="1" applyAlignment="1">
      <alignment horizontal="center" vertical="center" wrapText="1"/>
    </xf>
    <xf numFmtId="0" fontId="93" fillId="31" borderId="17" xfId="163" applyFont="1" applyFill="1" applyBorder="1" applyAlignment="1">
      <alignment horizontal="left" vertical="center" wrapText="1"/>
    </xf>
    <xf numFmtId="0" fontId="93" fillId="0" borderId="23" xfId="163" applyFont="1" applyFill="1" applyBorder="1" applyAlignment="1">
      <alignment horizontal="right" vertical="center" wrapText="1"/>
    </xf>
    <xf numFmtId="0" fontId="93" fillId="0" borderId="61" xfId="163" applyFont="1" applyFill="1" applyBorder="1" applyAlignment="1">
      <alignment horizontal="left" vertical="center" wrapText="1"/>
    </xf>
    <xf numFmtId="0" fontId="93" fillId="31" borderId="8" xfId="196" applyFont="1" applyFill="1" applyBorder="1" applyAlignment="1">
      <alignment horizontal="left" vertical="center" wrapText="1"/>
    </xf>
    <xf numFmtId="0" fontId="71" fillId="31" borderId="36" xfId="196" applyFont="1" applyFill="1" applyBorder="1" applyAlignment="1">
      <alignment horizontal="center" vertical="center" wrapText="1"/>
    </xf>
    <xf numFmtId="0" fontId="93" fillId="31" borderId="8" xfId="196" applyFont="1" applyFill="1" applyBorder="1" applyAlignment="1">
      <alignment horizontal="right" vertical="center" wrapText="1"/>
    </xf>
    <xf numFmtId="0" fontId="93" fillId="31" borderId="53" xfId="196" applyFont="1" applyFill="1" applyBorder="1" applyAlignment="1">
      <alignment horizontal="right" vertical="center" wrapText="1"/>
    </xf>
    <xf numFmtId="0" fontId="71" fillId="31" borderId="17" xfId="196" applyFont="1" applyFill="1" applyBorder="1" applyAlignment="1">
      <alignment horizontal="left" vertical="center" wrapText="1"/>
    </xf>
    <xf numFmtId="0" fontId="71" fillId="31" borderId="14" xfId="196" applyFont="1" applyFill="1" applyBorder="1" applyAlignment="1">
      <alignment horizontal="center" vertical="center" wrapText="1"/>
    </xf>
    <xf numFmtId="0" fontId="71" fillId="0" borderId="23" xfId="196" applyFont="1" applyFill="1" applyBorder="1" applyAlignment="1">
      <alignment horizontal="left" vertical="center" wrapText="1" indent="3"/>
    </xf>
    <xf numFmtId="0" fontId="71" fillId="0" borderId="36" xfId="196" applyFont="1" applyFill="1" applyBorder="1" applyAlignment="1">
      <alignment horizontal="center" vertical="center" wrapText="1"/>
    </xf>
    <xf numFmtId="0" fontId="93" fillId="0" borderId="60" xfId="196" applyFont="1" applyFill="1" applyBorder="1" applyAlignment="1">
      <alignment horizontal="left" vertical="center" wrapText="1"/>
    </xf>
    <xf numFmtId="0" fontId="71" fillId="0" borderId="61" xfId="196" applyFont="1" applyFill="1" applyBorder="1" applyAlignment="1">
      <alignment horizontal="left" vertical="center" wrapText="1" indent="3"/>
    </xf>
    <xf numFmtId="0" fontId="71" fillId="0" borderId="24" xfId="196" applyFont="1" applyFill="1" applyBorder="1" applyAlignment="1">
      <alignment horizontal="center" vertical="center" wrapText="1"/>
    </xf>
    <xf numFmtId="0" fontId="57" fillId="31" borderId="0" xfId="149" applyFont="1" applyFill="1" applyAlignment="1">
      <alignment vertical="center"/>
    </xf>
    <xf numFmtId="0" fontId="65" fillId="31" borderId="0" xfId="149" applyFont="1" applyFill="1" applyBorder="1" applyAlignment="1">
      <alignment horizontal="left" vertical="center" indent="2"/>
    </xf>
    <xf numFmtId="0" fontId="83" fillId="30" borderId="14" xfId="0" applyFont="1" applyFill="1" applyBorder="1" applyAlignment="1">
      <alignment horizontal="center" vertical="center"/>
    </xf>
    <xf numFmtId="0" fontId="83" fillId="30" borderId="53" xfId="0" applyFont="1" applyFill="1" applyBorder="1" applyAlignment="1">
      <alignment horizontal="center" vertical="center"/>
    </xf>
    <xf numFmtId="0" fontId="83" fillId="30" borderId="7" xfId="149" applyFont="1" applyFill="1" applyBorder="1" applyAlignment="1">
      <alignment horizontal="center" vertical="center"/>
    </xf>
    <xf numFmtId="49" fontId="67" fillId="30" borderId="14" xfId="149" quotePrefix="1" applyNumberFormat="1" applyFont="1" applyFill="1" applyBorder="1" applyAlignment="1">
      <alignment horizontal="center" vertical="center"/>
    </xf>
    <xf numFmtId="49" fontId="67" fillId="30" borderId="27" xfId="149" quotePrefix="1" applyNumberFormat="1" applyFont="1" applyFill="1" applyBorder="1" applyAlignment="1">
      <alignment horizontal="center" vertical="center"/>
    </xf>
    <xf numFmtId="49" fontId="67" fillId="30" borderId="28" xfId="149" quotePrefix="1" applyNumberFormat="1" applyFont="1" applyFill="1" applyBorder="1" applyAlignment="1">
      <alignment horizontal="center" vertical="center"/>
    </xf>
    <xf numFmtId="0" fontId="67" fillId="30" borderId="51" xfId="149" applyFont="1" applyFill="1" applyBorder="1" applyAlignment="1">
      <alignment horizontal="center" vertical="center"/>
    </xf>
    <xf numFmtId="0" fontId="67" fillId="30" borderId="43" xfId="149" applyFont="1" applyFill="1" applyBorder="1"/>
    <xf numFmtId="0" fontId="67" fillId="30" borderId="44" xfId="149" applyFont="1" applyFill="1" applyBorder="1"/>
    <xf numFmtId="0" fontId="67" fillId="30" borderId="52" xfId="149" applyFont="1" applyFill="1" applyBorder="1" applyAlignment="1">
      <alignment horizontal="center" vertical="center"/>
    </xf>
    <xf numFmtId="0" fontId="67" fillId="30" borderId="0" xfId="149" applyFont="1" applyFill="1" applyBorder="1"/>
    <xf numFmtId="0" fontId="67" fillId="30" borderId="15" xfId="149" applyFont="1" applyFill="1" applyBorder="1"/>
    <xf numFmtId="0" fontId="67" fillId="30" borderId="58" xfId="149" applyFont="1" applyFill="1" applyBorder="1" applyAlignment="1">
      <alignment horizontal="center" vertical="center"/>
    </xf>
    <xf numFmtId="0" fontId="67" fillId="30" borderId="33" xfId="149" applyFont="1" applyFill="1" applyBorder="1"/>
    <xf numFmtId="0" fontId="67" fillId="30" borderId="16" xfId="149" applyFont="1" applyFill="1" applyBorder="1"/>
    <xf numFmtId="49" fontId="67" fillId="30" borderId="7" xfId="149" quotePrefix="1" applyNumberFormat="1" applyFont="1" applyFill="1" applyBorder="1" applyAlignment="1">
      <alignment horizontal="center" vertical="center"/>
    </xf>
    <xf numFmtId="49" fontId="67" fillId="30" borderId="41" xfId="149" applyNumberFormat="1" applyFont="1" applyFill="1" applyBorder="1" applyAlignment="1">
      <alignment horizontal="center" vertical="center"/>
    </xf>
    <xf numFmtId="0" fontId="83" fillId="0" borderId="8" xfId="149" applyFont="1" applyFill="1" applyBorder="1"/>
    <xf numFmtId="0" fontId="67" fillId="0" borderId="23" xfId="149" applyFont="1" applyFill="1" applyBorder="1"/>
    <xf numFmtId="0" fontId="67" fillId="0" borderId="36" xfId="149" applyFont="1" applyFill="1" applyBorder="1"/>
    <xf numFmtId="0" fontId="83" fillId="31" borderId="8" xfId="149" applyFont="1" applyFill="1" applyBorder="1"/>
    <xf numFmtId="0" fontId="67" fillId="31" borderId="23" xfId="149" applyFont="1" applyFill="1" applyBorder="1"/>
    <xf numFmtId="0" fontId="67" fillId="31" borderId="36" xfId="149" applyFont="1" applyFill="1" applyBorder="1"/>
    <xf numFmtId="0" fontId="67" fillId="0" borderId="36" xfId="149" applyFont="1" applyFill="1" applyBorder="1" applyAlignment="1">
      <alignment vertical="center"/>
    </xf>
    <xf numFmtId="0" fontId="67" fillId="0" borderId="8" xfId="149" applyFont="1" applyFill="1" applyBorder="1" applyAlignment="1">
      <alignment horizontal="left" vertical="center" indent="2"/>
    </xf>
    <xf numFmtId="0" fontId="56" fillId="0" borderId="36" xfId="149" applyFont="1" applyBorder="1"/>
    <xf numFmtId="0" fontId="67" fillId="0" borderId="8" xfId="149" applyFont="1" applyFill="1" applyBorder="1" applyAlignment="1">
      <alignment vertical="center"/>
    </xf>
    <xf numFmtId="0" fontId="56" fillId="0" borderId="23" xfId="149" applyFont="1" applyBorder="1"/>
    <xf numFmtId="0" fontId="67" fillId="31" borderId="8" xfId="149" applyFont="1" applyFill="1" applyBorder="1" applyAlignment="1">
      <alignment horizontal="left" vertical="center" indent="1"/>
    </xf>
    <xf numFmtId="0" fontId="67" fillId="31" borderId="23" xfId="149" applyFont="1" applyFill="1" applyBorder="1" applyAlignment="1">
      <alignment vertical="center"/>
    </xf>
    <xf numFmtId="0" fontId="67" fillId="31" borderId="36" xfId="149" applyFont="1" applyFill="1" applyBorder="1" applyAlignment="1">
      <alignment vertical="center"/>
    </xf>
    <xf numFmtId="16" fontId="67" fillId="31" borderId="23" xfId="149" quotePrefix="1" applyNumberFormat="1" applyFont="1" applyFill="1" applyBorder="1" applyAlignment="1">
      <alignment vertical="center"/>
    </xf>
    <xf numFmtId="0" fontId="67" fillId="31" borderId="8" xfId="149" applyFont="1" applyFill="1" applyBorder="1" applyAlignment="1">
      <alignment horizontal="left" vertical="center" indent="2"/>
    </xf>
    <xf numFmtId="0" fontId="67" fillId="31" borderId="23" xfId="149" applyFont="1" applyFill="1" applyBorder="1" applyAlignment="1">
      <alignment horizontal="left" vertical="center"/>
    </xf>
    <xf numFmtId="0" fontId="56" fillId="31" borderId="36" xfId="149" applyFont="1" applyFill="1" applyBorder="1" applyAlignment="1"/>
    <xf numFmtId="0" fontId="56" fillId="31" borderId="36" xfId="149" applyFont="1" applyFill="1" applyBorder="1"/>
    <xf numFmtId="0" fontId="67" fillId="31" borderId="8" xfId="149" applyFont="1" applyFill="1" applyBorder="1" applyAlignment="1">
      <alignment horizontal="left" vertical="center" indent="3"/>
    </xf>
    <xf numFmtId="0" fontId="56" fillId="31" borderId="23" xfId="149" applyFont="1" applyFill="1" applyBorder="1"/>
    <xf numFmtId="16" fontId="67" fillId="31" borderId="8" xfId="149" applyNumberFormat="1" applyFont="1" applyFill="1" applyBorder="1" applyAlignment="1">
      <alignment horizontal="left" vertical="center" indent="2"/>
    </xf>
    <xf numFmtId="0" fontId="67" fillId="30" borderId="42" xfId="149" quotePrefix="1" applyFont="1" applyFill="1" applyBorder="1" applyAlignment="1">
      <alignment horizontal="center" vertical="center"/>
    </xf>
    <xf numFmtId="0" fontId="67" fillId="30" borderId="37" xfId="149" quotePrefix="1" applyFont="1" applyFill="1" applyBorder="1" applyAlignment="1">
      <alignment horizontal="center" vertical="center"/>
    </xf>
    <xf numFmtId="0" fontId="67" fillId="30" borderId="38" xfId="149" quotePrefix="1" applyFont="1" applyFill="1" applyBorder="1" applyAlignment="1">
      <alignment horizontal="center" vertical="center"/>
    </xf>
    <xf numFmtId="0" fontId="56" fillId="30" borderId="64" xfId="176" quotePrefix="1" applyFont="1" applyFill="1" applyBorder="1" applyAlignment="1">
      <alignment horizontal="center" vertical="center" wrapText="1"/>
    </xf>
    <xf numFmtId="0" fontId="83" fillId="30" borderId="37" xfId="175" quotePrefix="1" applyFont="1" applyFill="1" applyBorder="1" applyAlignment="1">
      <alignment horizontal="left" vertical="center" wrapText="1"/>
    </xf>
    <xf numFmtId="0" fontId="67" fillId="30" borderId="37" xfId="177" applyFont="1" applyFill="1" applyBorder="1" applyAlignment="1">
      <alignment horizontal="center" vertical="center" wrapText="1"/>
    </xf>
    <xf numFmtId="0" fontId="109" fillId="30" borderId="37" xfId="177" applyFont="1" applyFill="1" applyBorder="1" applyAlignment="1">
      <alignment horizontal="center" vertical="center" wrapText="1"/>
    </xf>
    <xf numFmtId="0" fontId="67" fillId="30" borderId="38" xfId="177" applyFont="1" applyFill="1" applyBorder="1" applyAlignment="1">
      <alignment horizontal="center" vertical="center" wrapText="1"/>
    </xf>
    <xf numFmtId="0" fontId="117" fillId="0" borderId="15" xfId="177" applyFont="1" applyFill="1" applyBorder="1" applyAlignment="1">
      <alignment horizontal="left" vertical="center" wrapText="1" indent="2"/>
    </xf>
    <xf numFmtId="0" fontId="57" fillId="30" borderId="65" xfId="159" applyFont="1" applyFill="1" applyBorder="1" applyAlignment="1">
      <alignment horizontal="centerContinuous" vertical="center" wrapText="1"/>
    </xf>
    <xf numFmtId="0" fontId="57" fillId="30" borderId="43" xfId="159" applyFont="1" applyFill="1" applyBorder="1" applyAlignment="1">
      <alignment horizontal="centerContinuous" vertical="center" wrapText="1"/>
    </xf>
    <xf numFmtId="0" fontId="57" fillId="30" borderId="0" xfId="159" applyFont="1" applyFill="1" applyBorder="1" applyAlignment="1">
      <alignment vertical="center" wrapText="1"/>
    </xf>
    <xf numFmtId="49" fontId="70" fillId="30" borderId="37" xfId="159" applyNumberFormat="1" applyFont="1" applyFill="1" applyBorder="1" applyAlignment="1">
      <alignment horizontal="center" vertical="center" wrapText="1"/>
    </xf>
    <xf numFmtId="49" fontId="70" fillId="30" borderId="7" xfId="159" applyNumberFormat="1" applyFont="1" applyFill="1" applyBorder="1" applyAlignment="1">
      <alignment horizontal="center" vertical="center" wrapText="1"/>
    </xf>
    <xf numFmtId="49" fontId="70" fillId="30" borderId="27" xfId="159" applyNumberFormat="1" applyFont="1" applyFill="1" applyBorder="1" applyAlignment="1">
      <alignment horizontal="center" vertical="center" wrapText="1"/>
    </xf>
    <xf numFmtId="0" fontId="70" fillId="30" borderId="7" xfId="0" quotePrefix="1" applyFont="1" applyFill="1" applyBorder="1" applyAlignment="1">
      <alignment horizontal="center" vertical="center" wrapText="1"/>
    </xf>
    <xf numFmtId="49" fontId="70" fillId="30" borderId="7" xfId="159" quotePrefix="1" applyNumberFormat="1" applyFont="1" applyFill="1" applyBorder="1" applyAlignment="1">
      <alignment horizontal="center" vertical="center" wrapText="1"/>
    </xf>
    <xf numFmtId="49" fontId="70" fillId="30" borderId="8" xfId="159" applyNumberFormat="1" applyFont="1" applyFill="1" applyBorder="1" applyAlignment="1">
      <alignment horizontal="center" vertical="center" wrapText="1"/>
    </xf>
    <xf numFmtId="49" fontId="70" fillId="30" borderId="41" xfId="159" applyNumberFormat="1" applyFont="1" applyFill="1" applyBorder="1" applyAlignment="1">
      <alignment horizontal="center" vertical="center" wrapText="1"/>
    </xf>
    <xf numFmtId="0" fontId="103" fillId="0" borderId="0" xfId="0" applyFont="1" applyFill="1" applyBorder="1" applyAlignment="1">
      <alignment horizontal="center" vertical="center"/>
    </xf>
    <xf numFmtId="0" fontId="77" fillId="30" borderId="7" xfId="196" applyFont="1" applyFill="1" applyBorder="1" applyAlignment="1">
      <alignment horizontal="center" vertical="center" wrapText="1"/>
    </xf>
    <xf numFmtId="9" fontId="77" fillId="30" borderId="7" xfId="196" applyNumberFormat="1" applyFont="1" applyFill="1" applyBorder="1" applyAlignment="1">
      <alignment horizontal="center" vertical="center" wrapText="1"/>
    </xf>
    <xf numFmtId="0" fontId="71" fillId="31" borderId="23" xfId="196" applyFont="1" applyFill="1" applyBorder="1" applyAlignment="1">
      <alignment horizontal="left" vertical="center" wrapText="1"/>
    </xf>
    <xf numFmtId="0" fontId="93" fillId="0" borderId="8" xfId="196" applyFont="1" applyFill="1" applyBorder="1" applyAlignment="1">
      <alignment horizontal="left" vertical="center" wrapText="1"/>
    </xf>
    <xf numFmtId="0" fontId="93" fillId="0" borderId="36" xfId="196" applyFont="1" applyFill="1" applyBorder="1" applyAlignment="1">
      <alignment horizontal="left" vertical="center" wrapText="1"/>
    </xf>
    <xf numFmtId="9" fontId="77" fillId="30" borderId="7" xfId="163" applyNumberFormat="1" applyFont="1" applyFill="1" applyBorder="1" applyAlignment="1">
      <alignment horizontal="center" vertical="center" wrapText="1"/>
    </xf>
    <xf numFmtId="0" fontId="77" fillId="30" borderId="7" xfId="163" applyFont="1" applyFill="1" applyBorder="1" applyAlignment="1">
      <alignment horizontal="center" vertical="center" wrapText="1"/>
    </xf>
    <xf numFmtId="0" fontId="71" fillId="31" borderId="23" xfId="163" applyFont="1" applyFill="1" applyBorder="1" applyAlignment="1">
      <alignment horizontal="left" vertical="center" wrapText="1"/>
    </xf>
    <xf numFmtId="0" fontId="67" fillId="0" borderId="8" xfId="159" applyFont="1" applyFill="1" applyBorder="1" applyAlignment="1">
      <alignment horizontal="left" vertical="center" indent="1"/>
    </xf>
    <xf numFmtId="0" fontId="83" fillId="30" borderId="55" xfId="159" applyFont="1" applyFill="1" applyBorder="1" applyAlignment="1">
      <alignment horizontal="center" vertical="center" wrapText="1"/>
    </xf>
    <xf numFmtId="0" fontId="56" fillId="30" borderId="51" xfId="159" applyFont="1" applyFill="1" applyBorder="1" applyAlignment="1">
      <alignment horizontal="center"/>
    </xf>
    <xf numFmtId="0" fontId="83" fillId="30" borderId="55" xfId="159" applyFont="1" applyFill="1" applyBorder="1" applyAlignment="1">
      <alignment horizontal="center" vertical="center"/>
    </xf>
    <xf numFmtId="0" fontId="5" fillId="30" borderId="13" xfId="159" applyFont="1" applyFill="1" applyBorder="1" applyAlignment="1">
      <alignment horizontal="center" vertical="center" wrapText="1"/>
    </xf>
    <xf numFmtId="0" fontId="67" fillId="0" borderId="66" xfId="149" applyFont="1" applyFill="1" applyBorder="1" applyAlignment="1">
      <alignment horizontal="center" vertical="center"/>
    </xf>
    <xf numFmtId="0" fontId="8" fillId="0" borderId="67" xfId="159" applyFont="1" applyFill="1" applyBorder="1" applyAlignment="1">
      <alignment horizontal="center"/>
    </xf>
    <xf numFmtId="0" fontId="8" fillId="0" borderId="68" xfId="159" applyFont="1" applyFill="1" applyBorder="1" applyAlignment="1">
      <alignment horizontal="center"/>
    </xf>
    <xf numFmtId="0" fontId="8" fillId="0" borderId="66" xfId="159" applyFont="1" applyFill="1" applyBorder="1" applyAlignment="1">
      <alignment horizontal="center"/>
    </xf>
    <xf numFmtId="0" fontId="8" fillId="0" borderId="69" xfId="159" applyFont="1" applyFill="1" applyBorder="1" applyAlignment="1">
      <alignment horizontal="center"/>
    </xf>
    <xf numFmtId="0" fontId="67" fillId="0" borderId="66" xfId="177" applyFont="1" applyBorder="1" applyAlignment="1">
      <alignment horizontal="center"/>
    </xf>
    <xf numFmtId="0" fontId="67" fillId="0" borderId="69" xfId="177" applyFont="1" applyBorder="1" applyAlignment="1">
      <alignment horizontal="center"/>
    </xf>
    <xf numFmtId="0" fontId="67" fillId="0" borderId="70" xfId="177" applyFont="1" applyFill="1" applyBorder="1"/>
    <xf numFmtId="0" fontId="56" fillId="0" borderId="67" xfId="149" quotePrefix="1" applyFont="1" applyBorder="1" applyAlignment="1">
      <alignment horizontal="center" vertical="center"/>
    </xf>
    <xf numFmtId="0" fontId="56" fillId="0" borderId="68" xfId="149" quotePrefix="1" applyFont="1" applyBorder="1" applyAlignment="1">
      <alignment horizontal="center" vertical="center"/>
    </xf>
    <xf numFmtId="0" fontId="56" fillId="0" borderId="66" xfId="149" quotePrefix="1" applyFont="1" applyBorder="1" applyAlignment="1">
      <alignment horizontal="center" vertical="center"/>
    </xf>
    <xf numFmtId="0" fontId="56" fillId="0" borderId="69" xfId="149" quotePrefix="1" applyFont="1" applyBorder="1" applyAlignment="1">
      <alignment horizontal="center" vertical="center"/>
    </xf>
    <xf numFmtId="0" fontId="56" fillId="0" borderId="71" xfId="149" quotePrefix="1" applyFont="1" applyBorder="1" applyAlignment="1">
      <alignment horizontal="center" vertical="center"/>
    </xf>
    <xf numFmtId="0" fontId="56" fillId="0" borderId="72" xfId="149" quotePrefix="1" applyFont="1" applyBorder="1" applyAlignment="1">
      <alignment horizontal="center" vertical="center"/>
    </xf>
    <xf numFmtId="0" fontId="56" fillId="32" borderId="68" xfId="149" applyFont="1" applyFill="1" applyBorder="1"/>
    <xf numFmtId="0" fontId="56" fillId="31" borderId="68" xfId="149" applyFont="1" applyFill="1" applyBorder="1"/>
    <xf numFmtId="0" fontId="56" fillId="0" borderId="68" xfId="149" quotePrefix="1" applyFont="1" applyFill="1" applyBorder="1" applyAlignment="1">
      <alignment horizontal="center" vertical="center" wrapText="1"/>
    </xf>
    <xf numFmtId="0" fontId="56" fillId="0" borderId="68" xfId="0" quotePrefix="1" applyFont="1" applyBorder="1" applyAlignment="1">
      <alignment horizontal="center" vertical="center"/>
    </xf>
    <xf numFmtId="0" fontId="56" fillId="0" borderId="68" xfId="0" quotePrefix="1" applyFont="1" applyFill="1" applyBorder="1" applyAlignment="1">
      <alignment horizontal="center" vertical="center"/>
    </xf>
    <xf numFmtId="0" fontId="56" fillId="31" borderId="73" xfId="149" applyFont="1" applyFill="1" applyBorder="1"/>
    <xf numFmtId="0" fontId="56" fillId="0" borderId="69" xfId="149" applyFont="1" applyBorder="1"/>
    <xf numFmtId="0" fontId="56" fillId="31" borderId="69" xfId="149" applyFont="1" applyFill="1" applyBorder="1"/>
    <xf numFmtId="0" fontId="56" fillId="0" borderId="69" xfId="149" quotePrefix="1" applyFont="1" applyFill="1" applyBorder="1" applyAlignment="1">
      <alignment horizontal="center" vertical="center" wrapText="1"/>
    </xf>
    <xf numFmtId="0" fontId="56" fillId="0" borderId="69" xfId="0" applyFont="1" applyBorder="1"/>
    <xf numFmtId="0" fontId="56" fillId="0" borderId="69" xfId="0" applyFont="1" applyFill="1" applyBorder="1"/>
    <xf numFmtId="0" fontId="56" fillId="32" borderId="69" xfId="0" applyFont="1" applyFill="1" applyBorder="1"/>
    <xf numFmtId="0" fontId="56" fillId="31" borderId="74" xfId="149" applyFont="1" applyFill="1" applyBorder="1"/>
    <xf numFmtId="0" fontId="56" fillId="32" borderId="69" xfId="149" applyFont="1" applyFill="1" applyBorder="1"/>
    <xf numFmtId="0" fontId="56" fillId="32" borderId="72" xfId="149" applyFont="1" applyFill="1" applyBorder="1"/>
    <xf numFmtId="0" fontId="56" fillId="0" borderId="72" xfId="149" applyFont="1" applyBorder="1"/>
    <xf numFmtId="0" fontId="56" fillId="0" borderId="72" xfId="149" quotePrefix="1" applyFont="1" applyFill="1" applyBorder="1" applyAlignment="1">
      <alignment horizontal="center" vertical="center" wrapText="1"/>
    </xf>
    <xf numFmtId="0" fontId="56" fillId="0" borderId="72" xfId="0" applyFont="1" applyBorder="1"/>
    <xf numFmtId="0" fontId="56" fillId="32" borderId="72" xfId="0" applyFont="1" applyFill="1" applyBorder="1"/>
    <xf numFmtId="0" fontId="56" fillId="32" borderId="75" xfId="149" applyFont="1" applyFill="1" applyBorder="1"/>
    <xf numFmtId="0" fontId="56" fillId="0" borderId="76" xfId="175" quotePrefix="1" applyFont="1" applyFill="1" applyBorder="1" applyAlignment="1">
      <alignment horizontal="center" vertical="center"/>
    </xf>
    <xf numFmtId="0" fontId="56" fillId="0" borderId="76" xfId="175" applyFont="1" applyFill="1" applyBorder="1" applyAlignment="1">
      <alignment horizontal="center" vertical="center"/>
    </xf>
    <xf numFmtId="0" fontId="56" fillId="0" borderId="77" xfId="175" quotePrefix="1" applyFont="1" applyFill="1" applyBorder="1" applyAlignment="1">
      <alignment horizontal="center" vertical="center"/>
    </xf>
    <xf numFmtId="0" fontId="86" fillId="0" borderId="68" xfId="175" quotePrefix="1" applyFont="1" applyFill="1" applyBorder="1" applyAlignment="1">
      <alignment horizontal="center" vertical="center"/>
    </xf>
    <xf numFmtId="0" fontId="86" fillId="32" borderId="68" xfId="175" quotePrefix="1" applyFont="1" applyFill="1" applyBorder="1" applyAlignment="1">
      <alignment horizontal="center" vertical="center"/>
    </xf>
    <xf numFmtId="0" fontId="56" fillId="32" borderId="68" xfId="175" applyFont="1" applyFill="1" applyBorder="1" applyAlignment="1">
      <alignment horizontal="left"/>
    </xf>
    <xf numFmtId="0" fontId="56" fillId="32" borderId="73" xfId="175" applyFont="1" applyFill="1" applyBorder="1" applyAlignment="1">
      <alignment horizontal="left"/>
    </xf>
    <xf numFmtId="0" fontId="86" fillId="0" borderId="69" xfId="175" quotePrefix="1" applyFont="1" applyFill="1" applyBorder="1" applyAlignment="1">
      <alignment horizontal="center" vertical="center"/>
    </xf>
    <xf numFmtId="0" fontId="86" fillId="32" borderId="69" xfId="175" quotePrefix="1" applyFont="1" applyFill="1" applyBorder="1" applyAlignment="1">
      <alignment horizontal="center" vertical="center"/>
    </xf>
    <xf numFmtId="0" fontId="56" fillId="32" borderId="69" xfId="175" applyFont="1" applyFill="1" applyBorder="1" applyAlignment="1">
      <alignment horizontal="left"/>
    </xf>
    <xf numFmtId="0" fontId="56" fillId="32" borderId="74" xfId="175" applyFont="1" applyFill="1" applyBorder="1" applyAlignment="1">
      <alignment horizontal="left"/>
    </xf>
    <xf numFmtId="0" fontId="56" fillId="32" borderId="69" xfId="175" applyFont="1" applyFill="1" applyBorder="1"/>
    <xf numFmtId="0" fontId="56" fillId="32" borderId="74" xfId="175" applyFont="1" applyFill="1" applyBorder="1"/>
    <xf numFmtId="0" fontId="100" fillId="0" borderId="69" xfId="175" applyFont="1" applyFill="1" applyBorder="1" applyAlignment="1">
      <alignment horizontal="left" vertical="center"/>
    </xf>
    <xf numFmtId="0" fontId="86" fillId="0" borderId="72" xfId="175" quotePrefix="1" applyFont="1" applyFill="1" applyBorder="1" applyAlignment="1">
      <alignment horizontal="center" vertical="center"/>
    </xf>
    <xf numFmtId="0" fontId="86" fillId="32" borderId="72" xfId="175" quotePrefix="1" applyFont="1" applyFill="1" applyBorder="1" applyAlignment="1">
      <alignment horizontal="center" vertical="center"/>
    </xf>
    <xf numFmtId="0" fontId="56" fillId="32" borderId="72" xfId="175" applyFont="1" applyFill="1" applyBorder="1"/>
    <xf numFmtId="0" fontId="56" fillId="32" borderId="75" xfId="175" applyFont="1" applyFill="1" applyBorder="1"/>
    <xf numFmtId="49" fontId="8" fillId="0" borderId="68" xfId="159" applyNumberFormat="1" applyFont="1" applyFill="1" applyBorder="1" applyAlignment="1">
      <alignment horizontal="center"/>
    </xf>
    <xf numFmtId="49" fontId="8" fillId="0" borderId="73" xfId="159" applyNumberFormat="1" applyFont="1" applyFill="1" applyBorder="1" applyAlignment="1">
      <alignment horizontal="center"/>
    </xf>
    <xf numFmtId="49" fontId="8" fillId="0" borderId="69" xfId="159" applyNumberFormat="1" applyFont="1" applyFill="1" applyBorder="1" applyAlignment="1">
      <alignment horizontal="center"/>
    </xf>
    <xf numFmtId="49" fontId="8" fillId="32" borderId="74" xfId="159" applyNumberFormat="1" applyFont="1" applyFill="1" applyBorder="1" applyAlignment="1">
      <alignment horizontal="center"/>
    </xf>
    <xf numFmtId="0" fontId="8" fillId="0" borderId="78" xfId="159" applyFont="1" applyFill="1" applyBorder="1" applyAlignment="1">
      <alignment horizontal="center"/>
    </xf>
    <xf numFmtId="0" fontId="8" fillId="0" borderId="70" xfId="159" applyFont="1" applyFill="1" applyBorder="1" applyAlignment="1">
      <alignment horizontal="center"/>
    </xf>
    <xf numFmtId="49" fontId="8" fillId="0" borderId="70" xfId="159" applyNumberFormat="1" applyFont="1" applyFill="1" applyBorder="1" applyAlignment="1">
      <alignment horizontal="center"/>
    </xf>
    <xf numFmtId="49" fontId="8" fillId="32" borderId="79" xfId="159" applyNumberFormat="1" applyFont="1" applyFill="1" applyBorder="1" applyAlignment="1">
      <alignment horizontal="center"/>
    </xf>
    <xf numFmtId="0" fontId="8" fillId="27" borderId="67" xfId="159" applyFont="1" applyFill="1" applyBorder="1" applyAlignment="1">
      <alignment horizontal="center"/>
    </xf>
    <xf numFmtId="0" fontId="8" fillId="27" borderId="68" xfId="159" applyFont="1" applyFill="1" applyBorder="1" applyAlignment="1">
      <alignment horizontal="center"/>
    </xf>
    <xf numFmtId="49" fontId="40" fillId="0" borderId="68" xfId="159" applyNumberFormat="1" applyFont="1" applyFill="1" applyBorder="1" applyAlignment="1">
      <alignment horizontal="center"/>
    </xf>
    <xf numFmtId="49" fontId="40" fillId="32" borderId="73" xfId="159" applyNumberFormat="1" applyFont="1" applyFill="1" applyBorder="1" applyAlignment="1">
      <alignment horizontal="center"/>
    </xf>
    <xf numFmtId="0" fontId="8" fillId="27" borderId="78" xfId="159" applyFont="1" applyFill="1" applyBorder="1" applyAlignment="1">
      <alignment horizontal="center" vertical="center"/>
    </xf>
    <xf numFmtId="0" fontId="8" fillId="27" borderId="70" xfId="159" applyFont="1" applyFill="1" applyBorder="1" applyAlignment="1">
      <alignment horizontal="center" vertical="center"/>
    </xf>
    <xf numFmtId="0" fontId="8" fillId="0" borderId="70" xfId="159" applyFont="1" applyFill="1" applyBorder="1" applyAlignment="1">
      <alignment horizontal="center" vertical="center"/>
    </xf>
    <xf numFmtId="0" fontId="8" fillId="0" borderId="70" xfId="159" applyFont="1" applyFill="1" applyBorder="1" applyAlignment="1">
      <alignment vertical="center"/>
    </xf>
    <xf numFmtId="0" fontId="8" fillId="32" borderId="79" xfId="159" applyFont="1" applyFill="1" applyBorder="1" applyAlignment="1">
      <alignment vertical="center"/>
    </xf>
    <xf numFmtId="0" fontId="8" fillId="27" borderId="67" xfId="159" applyFont="1" applyFill="1" applyBorder="1" applyAlignment="1">
      <alignment horizontal="center" vertical="center"/>
    </xf>
    <xf numFmtId="0" fontId="8" fillId="27" borderId="68" xfId="159" applyFont="1" applyFill="1" applyBorder="1" applyAlignment="1">
      <alignment horizontal="center" vertical="center"/>
    </xf>
    <xf numFmtId="0" fontId="8" fillId="0" borderId="68" xfId="159" applyFont="1" applyFill="1" applyBorder="1" applyAlignment="1">
      <alignment horizontal="center" vertical="center"/>
    </xf>
    <xf numFmtId="0" fontId="8" fillId="0" borderId="68" xfId="159" applyFont="1" applyFill="1" applyBorder="1" applyAlignment="1">
      <alignment vertical="center"/>
    </xf>
    <xf numFmtId="0" fontId="8" fillId="32" borderId="73" xfId="159" applyFont="1" applyFill="1" applyBorder="1" applyAlignment="1">
      <alignment vertical="center"/>
    </xf>
    <xf numFmtId="0" fontId="8" fillId="32" borderId="66" xfId="159" applyFont="1" applyFill="1" applyBorder="1" applyAlignment="1">
      <alignment horizontal="center" vertical="center"/>
    </xf>
    <xf numFmtId="0" fontId="8" fillId="32" borderId="69" xfId="159" applyFont="1" applyFill="1" applyBorder="1" applyAlignment="1">
      <alignment horizontal="center" vertical="center"/>
    </xf>
    <xf numFmtId="0" fontId="8" fillId="0" borderId="69" xfId="159" applyFont="1" applyFill="1" applyBorder="1" applyAlignment="1">
      <alignment vertical="center"/>
    </xf>
    <xf numFmtId="0" fontId="8" fillId="32" borderId="74" xfId="159" applyFont="1" applyFill="1" applyBorder="1" applyAlignment="1">
      <alignment vertical="center"/>
    </xf>
    <xf numFmtId="0" fontId="8" fillId="32" borderId="71" xfId="159" applyFont="1" applyFill="1" applyBorder="1" applyAlignment="1">
      <alignment horizontal="center" vertical="center"/>
    </xf>
    <xf numFmtId="0" fontId="8" fillId="32" borderId="72" xfId="159" applyFont="1" applyFill="1" applyBorder="1" applyAlignment="1">
      <alignment horizontal="center" vertical="center"/>
    </xf>
    <xf numFmtId="0" fontId="8" fillId="0" borderId="72" xfId="159" applyFont="1" applyFill="1" applyBorder="1" applyAlignment="1">
      <alignment vertical="center"/>
    </xf>
    <xf numFmtId="0" fontId="8" fillId="32" borderId="75" xfId="159" applyFont="1" applyFill="1" applyBorder="1" applyAlignment="1">
      <alignment vertical="center"/>
    </xf>
    <xf numFmtId="0" fontId="67" fillId="0" borderId="68" xfId="159" applyFont="1" applyFill="1" applyBorder="1" applyAlignment="1">
      <alignment horizontal="center"/>
    </xf>
    <xf numFmtId="49" fontId="67" fillId="0" borderId="68" xfId="159" applyNumberFormat="1" applyFont="1" applyFill="1" applyBorder="1" applyAlignment="1">
      <alignment horizontal="center"/>
    </xf>
    <xf numFmtId="49" fontId="67" fillId="0" borderId="68" xfId="159" applyNumberFormat="1" applyFont="1" applyFill="1" applyBorder="1" applyAlignment="1">
      <alignment horizontal="center" vertical="center"/>
    </xf>
    <xf numFmtId="49" fontId="67" fillId="0" borderId="73" xfId="159" applyNumberFormat="1" applyFont="1" applyFill="1" applyBorder="1" applyAlignment="1">
      <alignment horizontal="center" vertical="center"/>
    </xf>
    <xf numFmtId="0" fontId="67" fillId="0" borderId="69" xfId="159" applyFont="1" applyFill="1" applyBorder="1" applyAlignment="1">
      <alignment horizontal="center" vertical="center"/>
    </xf>
    <xf numFmtId="0" fontId="67" fillId="0" borderId="69" xfId="159" applyFont="1" applyFill="1" applyBorder="1" applyAlignment="1">
      <alignment vertical="center"/>
    </xf>
    <xf numFmtId="0" fontId="67" fillId="32" borderId="69" xfId="159" applyFont="1" applyFill="1" applyBorder="1" applyAlignment="1">
      <alignment vertical="center"/>
    </xf>
    <xf numFmtId="0" fontId="67" fillId="32" borderId="74" xfId="159" applyFont="1" applyFill="1" applyBorder="1" applyAlignment="1">
      <alignment vertical="center"/>
    </xf>
    <xf numFmtId="0" fontId="67" fillId="32" borderId="69" xfId="159" applyFont="1" applyFill="1" applyBorder="1" applyAlignment="1">
      <alignment horizontal="center" vertical="center"/>
    </xf>
    <xf numFmtId="0" fontId="67" fillId="32" borderId="69" xfId="159" applyFont="1" applyFill="1" applyBorder="1" applyAlignment="1">
      <alignment horizontal="center" vertical="center" wrapText="1"/>
    </xf>
    <xf numFmtId="0" fontId="84" fillId="32" borderId="69" xfId="159" applyFont="1" applyFill="1" applyBorder="1" applyAlignment="1">
      <alignment horizontal="center" vertical="center" wrapText="1"/>
    </xf>
    <xf numFmtId="0" fontId="67" fillId="32" borderId="70" xfId="159" applyFont="1" applyFill="1" applyBorder="1" applyAlignment="1">
      <alignment horizontal="center" vertical="center" wrapText="1"/>
    </xf>
    <xf numFmtId="0" fontId="84" fillId="32" borderId="70" xfId="159" applyFont="1" applyFill="1" applyBorder="1" applyAlignment="1">
      <alignment horizontal="center" vertical="center" wrapText="1"/>
    </xf>
    <xf numFmtId="0" fontId="67" fillId="0" borderId="70" xfId="159" applyFont="1" applyFill="1" applyBorder="1" applyAlignment="1">
      <alignment vertical="center" wrapText="1"/>
    </xf>
    <xf numFmtId="0" fontId="67" fillId="32" borderId="79" xfId="159" applyFont="1" applyFill="1" applyBorder="1" applyAlignment="1">
      <alignment vertical="center" wrapText="1"/>
    </xf>
    <xf numFmtId="49" fontId="67" fillId="32" borderId="68" xfId="159" applyNumberFormat="1" applyFont="1" applyFill="1" applyBorder="1" applyAlignment="1">
      <alignment horizontal="center"/>
    </xf>
    <xf numFmtId="49" fontId="67" fillId="32" borderId="73" xfId="159" applyNumberFormat="1" applyFont="1" applyFill="1" applyBorder="1" applyAlignment="1">
      <alignment horizontal="center"/>
    </xf>
    <xf numFmtId="0" fontId="67" fillId="0" borderId="69" xfId="159" applyFont="1" applyFill="1" applyBorder="1" applyAlignment="1">
      <alignment horizontal="center"/>
    </xf>
    <xf numFmtId="49" fontId="67" fillId="32" borderId="69" xfId="159" applyNumberFormat="1" applyFont="1" applyFill="1" applyBorder="1" applyAlignment="1">
      <alignment horizontal="center"/>
    </xf>
    <xf numFmtId="49" fontId="67" fillId="32" borderId="74" xfId="159" applyNumberFormat="1" applyFont="1" applyFill="1" applyBorder="1" applyAlignment="1">
      <alignment horizontal="center"/>
    </xf>
    <xf numFmtId="0" fontId="67" fillId="0" borderId="70" xfId="159" applyFont="1" applyFill="1" applyBorder="1" applyAlignment="1">
      <alignment horizontal="center"/>
    </xf>
    <xf numFmtId="49" fontId="67" fillId="32" borderId="70" xfId="159" applyNumberFormat="1" applyFont="1" applyFill="1" applyBorder="1" applyAlignment="1">
      <alignment horizontal="center"/>
    </xf>
    <xf numFmtId="49" fontId="67" fillId="32" borderId="79" xfId="159" applyNumberFormat="1" applyFont="1" applyFill="1" applyBorder="1" applyAlignment="1">
      <alignment horizontal="center"/>
    </xf>
    <xf numFmtId="0" fontId="67" fillId="0" borderId="68" xfId="159" applyFont="1" applyFill="1" applyBorder="1" applyAlignment="1">
      <alignment horizontal="center" vertical="center"/>
    </xf>
    <xf numFmtId="0" fontId="67" fillId="32" borderId="68" xfId="159" applyFont="1" applyFill="1" applyBorder="1" applyAlignment="1">
      <alignment horizontal="center" vertical="center"/>
    </xf>
    <xf numFmtId="0" fontId="67" fillId="32" borderId="68" xfId="159" applyFont="1" applyFill="1" applyBorder="1" applyAlignment="1">
      <alignment vertical="center"/>
    </xf>
    <xf numFmtId="0" fontId="67" fillId="32" borderId="73" xfId="159" applyFont="1" applyFill="1" applyBorder="1" applyAlignment="1">
      <alignment vertical="center"/>
    </xf>
    <xf numFmtId="0" fontId="67" fillId="0" borderId="72" xfId="159" applyFont="1" applyFill="1" applyBorder="1" applyAlignment="1">
      <alignment horizontal="center" vertical="center"/>
    </xf>
    <xf numFmtId="0" fontId="67" fillId="32" borderId="72" xfId="159" applyFont="1" applyFill="1" applyBorder="1" applyAlignment="1">
      <alignment horizontal="center" vertical="center"/>
    </xf>
    <xf numFmtId="0" fontId="67" fillId="32" borderId="72" xfId="159" applyFont="1" applyFill="1" applyBorder="1" applyAlignment="1">
      <alignment vertical="center"/>
    </xf>
    <xf numFmtId="0" fontId="67" fillId="32" borderId="75" xfId="159" applyFont="1" applyFill="1" applyBorder="1" applyAlignment="1">
      <alignment vertical="center"/>
    </xf>
    <xf numFmtId="0" fontId="67" fillId="32" borderId="67" xfId="159" applyFont="1" applyFill="1" applyBorder="1" applyAlignment="1">
      <alignment horizontal="center" vertical="center"/>
    </xf>
    <xf numFmtId="0" fontId="67" fillId="0" borderId="66" xfId="159" applyFont="1" applyFill="1" applyBorder="1" applyAlignment="1">
      <alignment horizontal="center" vertical="center"/>
    </xf>
    <xf numFmtId="0" fontId="67" fillId="0" borderId="66" xfId="159" applyFont="1" applyBorder="1" applyAlignment="1">
      <alignment horizontal="center" vertical="center"/>
    </xf>
    <xf numFmtId="0" fontId="67" fillId="0" borderId="69" xfId="159" applyFont="1" applyBorder="1" applyAlignment="1">
      <alignment horizontal="center" vertical="center"/>
    </xf>
    <xf numFmtId="0" fontId="67" fillId="0" borderId="69" xfId="159" applyFont="1" applyBorder="1" applyAlignment="1">
      <alignment vertical="center"/>
    </xf>
    <xf numFmtId="0" fontId="85" fillId="32" borderId="66" xfId="149" applyFont="1" applyFill="1" applyBorder="1" applyAlignment="1">
      <alignment horizontal="center" vertical="center"/>
    </xf>
    <xf numFmtId="0" fontId="74" fillId="32" borderId="69" xfId="149" applyFont="1" applyFill="1" applyBorder="1" applyAlignment="1">
      <alignment horizontal="center"/>
    </xf>
    <xf numFmtId="0" fontId="85" fillId="32" borderId="69" xfId="149" applyFont="1" applyFill="1" applyBorder="1" applyAlignment="1">
      <alignment horizontal="center" vertical="center"/>
    </xf>
    <xf numFmtId="0" fontId="85" fillId="0" borderId="69" xfId="149" applyFont="1" applyFill="1" applyBorder="1" applyAlignment="1">
      <alignment vertical="center"/>
    </xf>
    <xf numFmtId="0" fontId="56" fillId="32" borderId="74" xfId="149" applyFont="1" applyFill="1" applyBorder="1"/>
    <xf numFmtId="0" fontId="67" fillId="32" borderId="71" xfId="149" applyFont="1" applyFill="1" applyBorder="1" applyAlignment="1">
      <alignment horizontal="center" vertical="center"/>
    </xf>
    <xf numFmtId="0" fontId="56" fillId="32" borderId="72" xfId="149" applyFont="1" applyFill="1" applyBorder="1" applyAlignment="1">
      <alignment horizontal="center"/>
    </xf>
    <xf numFmtId="0" fontId="67" fillId="32" borderId="72" xfId="149" applyFont="1" applyFill="1" applyBorder="1" applyAlignment="1">
      <alignment horizontal="center" vertical="center"/>
    </xf>
    <xf numFmtId="0" fontId="67" fillId="0" borderId="72" xfId="149" applyFont="1" applyFill="1" applyBorder="1" applyAlignment="1">
      <alignment vertical="center"/>
    </xf>
    <xf numFmtId="0" fontId="91" fillId="0" borderId="80" xfId="163" quotePrefix="1" applyFont="1" applyFill="1" applyBorder="1" applyAlignment="1">
      <alignment horizontal="center" vertical="center" wrapText="1"/>
    </xf>
    <xf numFmtId="0" fontId="91" fillId="0" borderId="76" xfId="163" quotePrefix="1" applyFont="1" applyFill="1" applyBorder="1" applyAlignment="1">
      <alignment horizontal="center" vertical="center" wrapText="1"/>
    </xf>
    <xf numFmtId="0" fontId="91" fillId="0" borderId="76" xfId="163" applyFont="1" applyFill="1" applyBorder="1" applyAlignment="1">
      <alignment horizontal="center" vertical="center" wrapText="1"/>
    </xf>
    <xf numFmtId="0" fontId="92" fillId="0" borderId="76" xfId="163" applyFont="1" applyFill="1" applyBorder="1" applyAlignment="1">
      <alignment horizontal="left" vertical="center" wrapText="1"/>
    </xf>
    <xf numFmtId="0" fontId="76" fillId="0" borderId="76" xfId="163" quotePrefix="1" applyFont="1" applyFill="1" applyBorder="1" applyAlignment="1">
      <alignment horizontal="center" vertical="center" wrapText="1"/>
    </xf>
    <xf numFmtId="0" fontId="90" fillId="0" borderId="76" xfId="163" applyFont="1" applyFill="1" applyBorder="1" applyAlignment="1">
      <alignment horizontal="center" vertical="center" wrapText="1"/>
    </xf>
    <xf numFmtId="9" fontId="90" fillId="0" borderId="76" xfId="163" applyNumberFormat="1" applyFont="1" applyFill="1" applyBorder="1" applyAlignment="1">
      <alignment horizontal="center" vertical="center"/>
    </xf>
    <xf numFmtId="0" fontId="90" fillId="0" borderId="76" xfId="163" applyFont="1" applyFill="1" applyBorder="1" applyAlignment="1">
      <alignment vertical="center"/>
    </xf>
    <xf numFmtId="0" fontId="91" fillId="0" borderId="77" xfId="196" applyFont="1" applyFill="1" applyBorder="1" applyAlignment="1">
      <alignment horizontal="center" vertical="center" wrapText="1"/>
    </xf>
    <xf numFmtId="0" fontId="86" fillId="0" borderId="67" xfId="163" applyFont="1" applyFill="1" applyBorder="1" applyAlignment="1">
      <alignment wrapText="1"/>
    </xf>
    <xf numFmtId="0" fontId="86" fillId="0" borderId="68" xfId="163" applyFont="1" applyBorder="1" applyAlignment="1">
      <alignment wrapText="1"/>
    </xf>
    <xf numFmtId="0" fontId="86" fillId="0" borderId="68" xfId="163" applyFont="1" applyFill="1" applyBorder="1" applyAlignment="1">
      <alignment wrapText="1"/>
    </xf>
    <xf numFmtId="0" fontId="56" fillId="0" borderId="68" xfId="163" applyFont="1" applyFill="1" applyBorder="1" applyAlignment="1">
      <alignment vertical="center" wrapText="1"/>
    </xf>
    <xf numFmtId="0" fontId="56" fillId="0" borderId="68" xfId="163" applyFont="1" applyFill="1" applyBorder="1" applyAlignment="1">
      <alignment wrapText="1"/>
    </xf>
    <xf numFmtId="0" fontId="86" fillId="32" borderId="73" xfId="163" applyFont="1" applyFill="1" applyBorder="1" applyAlignment="1">
      <alignment wrapText="1"/>
    </xf>
    <xf numFmtId="0" fontId="86" fillId="0" borderId="66" xfId="163" applyFont="1" applyFill="1" applyBorder="1" applyAlignment="1">
      <alignment wrapText="1"/>
    </xf>
    <xf numFmtId="0" fontId="86" fillId="0" borderId="69" xfId="163" applyFont="1" applyFill="1" applyBorder="1" applyAlignment="1">
      <alignment wrapText="1"/>
    </xf>
    <xf numFmtId="0" fontId="86" fillId="32" borderId="69" xfId="163" applyFont="1" applyFill="1" applyBorder="1" applyAlignment="1">
      <alignment wrapText="1"/>
    </xf>
    <xf numFmtId="0" fontId="86" fillId="0" borderId="69" xfId="163" applyFont="1" applyBorder="1" applyAlignment="1">
      <alignment wrapText="1"/>
    </xf>
    <xf numFmtId="0" fontId="56" fillId="0" borderId="69" xfId="163" applyFont="1" applyFill="1" applyBorder="1" applyAlignment="1">
      <alignment vertical="center" wrapText="1"/>
    </xf>
    <xf numFmtId="0" fontId="56" fillId="0" borderId="69" xfId="163" applyFont="1" applyFill="1" applyBorder="1" applyAlignment="1">
      <alignment wrapText="1"/>
    </xf>
    <xf numFmtId="0" fontId="86" fillId="32" borderId="74" xfId="163" applyFont="1" applyFill="1" applyBorder="1" applyAlignment="1">
      <alignment wrapText="1"/>
    </xf>
    <xf numFmtId="0" fontId="86" fillId="0" borderId="69" xfId="163" applyFont="1" applyFill="1" applyBorder="1" applyAlignment="1">
      <alignment vertical="center" wrapText="1"/>
    </xf>
    <xf numFmtId="0" fontId="86" fillId="0" borderId="66" xfId="163" applyFont="1" applyBorder="1" applyAlignment="1">
      <alignment wrapText="1"/>
    </xf>
    <xf numFmtId="0" fontId="86" fillId="0" borderId="78" xfId="163" applyFont="1" applyBorder="1" applyAlignment="1">
      <alignment wrapText="1"/>
    </xf>
    <xf numFmtId="0" fontId="86" fillId="0" borderId="70" xfId="163" applyFont="1" applyBorder="1" applyAlignment="1">
      <alignment wrapText="1"/>
    </xf>
    <xf numFmtId="0" fontId="86" fillId="0" borderId="70" xfId="163" applyFont="1" applyFill="1" applyBorder="1" applyAlignment="1">
      <alignment wrapText="1"/>
    </xf>
    <xf numFmtId="0" fontId="86" fillId="32" borderId="70" xfId="163" applyFont="1" applyFill="1" applyBorder="1" applyAlignment="1">
      <alignment wrapText="1"/>
    </xf>
    <xf numFmtId="0" fontId="86" fillId="0" borderId="70" xfId="163" applyFont="1" applyFill="1" applyBorder="1" applyAlignment="1">
      <alignment vertical="center" wrapText="1"/>
    </xf>
    <xf numFmtId="0" fontId="96" fillId="32" borderId="70" xfId="163" applyFont="1" applyFill="1" applyBorder="1" applyAlignment="1">
      <alignment wrapText="1"/>
    </xf>
    <xf numFmtId="0" fontId="86" fillId="32" borderId="79" xfId="163" applyFont="1" applyFill="1" applyBorder="1" applyAlignment="1">
      <alignment wrapText="1"/>
    </xf>
    <xf numFmtId="0" fontId="86" fillId="32" borderId="68" xfId="163" applyFont="1" applyFill="1" applyBorder="1" applyAlignment="1">
      <alignment wrapText="1"/>
    </xf>
    <xf numFmtId="0" fontId="86" fillId="0" borderId="68" xfId="163" applyFont="1" applyFill="1" applyBorder="1" applyAlignment="1">
      <alignment vertical="center" wrapText="1"/>
    </xf>
    <xf numFmtId="0" fontId="96" fillId="32" borderId="68" xfId="163" applyFont="1" applyFill="1" applyBorder="1" applyAlignment="1">
      <alignment wrapText="1"/>
    </xf>
    <xf numFmtId="0" fontId="86" fillId="0" borderId="71" xfId="163" applyFont="1" applyFill="1" applyBorder="1" applyAlignment="1">
      <alignment wrapText="1"/>
    </xf>
    <xf numFmtId="0" fontId="86" fillId="0" borderId="72" xfId="163" applyFont="1" applyFill="1" applyBorder="1" applyAlignment="1">
      <alignment wrapText="1"/>
    </xf>
    <xf numFmtId="0" fontId="86" fillId="32" borderId="72" xfId="163" applyFont="1" applyFill="1" applyBorder="1" applyAlignment="1">
      <alignment wrapText="1"/>
    </xf>
    <xf numFmtId="0" fontId="86" fillId="0" borderId="72" xfId="163" applyFont="1" applyFill="1" applyBorder="1" applyAlignment="1">
      <alignment vertical="center" wrapText="1"/>
    </xf>
    <xf numFmtId="0" fontId="96" fillId="32" borderId="72" xfId="163" applyFont="1" applyFill="1" applyBorder="1" applyAlignment="1">
      <alignment wrapText="1"/>
    </xf>
    <xf numFmtId="0" fontId="86" fillId="32" borderId="75" xfId="163" applyFont="1" applyFill="1" applyBorder="1" applyAlignment="1">
      <alignment wrapText="1"/>
    </xf>
    <xf numFmtId="0" fontId="91" fillId="0" borderId="67" xfId="196" quotePrefix="1" applyFont="1" applyFill="1" applyBorder="1" applyAlignment="1">
      <alignment horizontal="center" vertical="center" wrapText="1"/>
    </xf>
    <xf numFmtId="0" fontId="91" fillId="0" borderId="68" xfId="196" quotePrefix="1" applyFont="1" applyFill="1" applyBorder="1" applyAlignment="1">
      <alignment horizontal="center" vertical="center" wrapText="1"/>
    </xf>
    <xf numFmtId="0" fontId="91" fillId="0" borderId="68" xfId="196" applyFont="1" applyFill="1" applyBorder="1" applyAlignment="1">
      <alignment horizontal="center" vertical="center" wrapText="1"/>
    </xf>
    <xf numFmtId="0" fontId="92" fillId="0" borderId="68" xfId="196" applyFont="1" applyFill="1" applyBorder="1" applyAlignment="1">
      <alignment horizontal="left" vertical="center" wrapText="1"/>
    </xf>
    <xf numFmtId="0" fontId="76" fillId="0" borderId="68" xfId="196" quotePrefix="1" applyFont="1" applyFill="1" applyBorder="1" applyAlignment="1">
      <alignment horizontal="center" vertical="center" wrapText="1"/>
    </xf>
    <xf numFmtId="0" fontId="90" fillId="0" borderId="68" xfId="196" applyFont="1" applyFill="1" applyBorder="1" applyAlignment="1">
      <alignment horizontal="center" vertical="center" wrapText="1"/>
    </xf>
    <xf numFmtId="9" fontId="90" fillId="0" borderId="68" xfId="196" applyNumberFormat="1" applyFont="1" applyFill="1" applyBorder="1" applyAlignment="1">
      <alignment horizontal="center" vertical="center"/>
    </xf>
    <xf numFmtId="0" fontId="90" fillId="0" borderId="68" xfId="196" applyFont="1" applyFill="1" applyBorder="1" applyAlignment="1">
      <alignment vertical="center"/>
    </xf>
    <xf numFmtId="0" fontId="86" fillId="0" borderId="68" xfId="196" applyFont="1" applyFill="1" applyBorder="1" applyAlignment="1">
      <alignment wrapText="1"/>
    </xf>
    <xf numFmtId="0" fontId="91" fillId="0" borderId="73" xfId="196" applyFont="1" applyFill="1" applyBorder="1" applyAlignment="1">
      <alignment horizontal="center" vertical="center" wrapText="1"/>
    </xf>
    <xf numFmtId="0" fontId="91" fillId="0" borderId="66" xfId="196" quotePrefix="1" applyFont="1" applyFill="1" applyBorder="1" applyAlignment="1">
      <alignment horizontal="center" vertical="center" wrapText="1"/>
    </xf>
    <xf numFmtId="0" fontId="91" fillId="0" borderId="69" xfId="196" quotePrefix="1" applyFont="1" applyFill="1" applyBorder="1" applyAlignment="1">
      <alignment horizontal="center" vertical="center" wrapText="1"/>
    </xf>
    <xf numFmtId="0" fontId="86" fillId="33" borderId="69" xfId="196" applyFont="1" applyFill="1" applyBorder="1" applyAlignment="1">
      <alignment wrapText="1"/>
    </xf>
    <xf numFmtId="0" fontId="86" fillId="0" borderId="69" xfId="155" applyFont="1" applyFill="1" applyBorder="1" applyAlignment="1">
      <alignment wrapText="1"/>
    </xf>
    <xf numFmtId="0" fontId="86" fillId="0" borderId="69" xfId="196" applyFont="1" applyFill="1" applyBorder="1" applyAlignment="1">
      <alignment wrapText="1"/>
    </xf>
    <xf numFmtId="0" fontId="90" fillId="0" borderId="69" xfId="196" applyFont="1" applyFill="1" applyBorder="1" applyAlignment="1">
      <alignment vertical="center"/>
    </xf>
    <xf numFmtId="0" fontId="90" fillId="28" borderId="74" xfId="196" applyFont="1" applyFill="1" applyBorder="1" applyAlignment="1">
      <alignment vertical="center"/>
    </xf>
    <xf numFmtId="0" fontId="86" fillId="0" borderId="66" xfId="196" applyFont="1" applyFill="1" applyBorder="1" applyAlignment="1">
      <alignment wrapText="1"/>
    </xf>
    <xf numFmtId="0" fontId="86" fillId="0" borderId="69" xfId="196" applyFont="1" applyBorder="1" applyAlignment="1">
      <alignment wrapText="1"/>
    </xf>
    <xf numFmtId="0" fontId="56" fillId="0" borderId="69" xfId="196" applyFont="1" applyFill="1" applyBorder="1" applyAlignment="1">
      <alignment vertical="center" wrapText="1"/>
    </xf>
    <xf numFmtId="0" fontId="56" fillId="0" borderId="69" xfId="196" applyFont="1" applyFill="1" applyBorder="1" applyAlignment="1">
      <alignment wrapText="1"/>
    </xf>
    <xf numFmtId="0" fontId="86" fillId="28" borderId="74" xfId="196" applyFont="1" applyFill="1" applyBorder="1" applyAlignment="1">
      <alignment wrapText="1"/>
    </xf>
    <xf numFmtId="0" fontId="91" fillId="28" borderId="69" xfId="196" quotePrefix="1" applyFont="1" applyFill="1" applyBorder="1" applyAlignment="1">
      <alignment horizontal="center" vertical="center" wrapText="1"/>
    </xf>
    <xf numFmtId="0" fontId="86" fillId="28" borderId="69" xfId="196" applyFont="1" applyFill="1" applyBorder="1" applyAlignment="1">
      <alignment horizontal="left" vertical="center" wrapText="1"/>
    </xf>
    <xf numFmtId="0" fontId="86" fillId="0" borderId="69" xfId="155" applyFont="1" applyBorder="1" applyAlignment="1">
      <alignment wrapText="1"/>
    </xf>
    <xf numFmtId="0" fontId="86" fillId="0" borderId="66" xfId="196" applyFont="1" applyBorder="1" applyAlignment="1">
      <alignment wrapText="1"/>
    </xf>
    <xf numFmtId="0" fontId="86" fillId="0" borderId="69" xfId="196" applyFont="1" applyFill="1" applyBorder="1" applyAlignment="1">
      <alignment vertical="center" wrapText="1"/>
    </xf>
    <xf numFmtId="0" fontId="86" fillId="0" borderId="78" xfId="196" applyFont="1" applyBorder="1" applyAlignment="1">
      <alignment wrapText="1"/>
    </xf>
    <xf numFmtId="0" fontId="86" fillId="0" borderId="70" xfId="196" applyFont="1" applyBorder="1" applyAlignment="1">
      <alignment wrapText="1"/>
    </xf>
    <xf numFmtId="0" fontId="86" fillId="0" borderId="70" xfId="196" applyFont="1" applyFill="1" applyBorder="1" applyAlignment="1">
      <alignment wrapText="1"/>
    </xf>
    <xf numFmtId="0" fontId="86" fillId="33" borderId="70" xfId="196" applyFont="1" applyFill="1" applyBorder="1" applyAlignment="1">
      <alignment wrapText="1"/>
    </xf>
    <xf numFmtId="0" fontId="86" fillId="0" borderId="70" xfId="155" applyFont="1" applyFill="1" applyBorder="1" applyAlignment="1">
      <alignment wrapText="1"/>
    </xf>
    <xf numFmtId="0" fontId="86" fillId="0" borderId="70" xfId="155" applyFont="1" applyBorder="1" applyAlignment="1">
      <alignment wrapText="1"/>
    </xf>
    <xf numFmtId="0" fontId="86" fillId="28" borderId="79" xfId="196" applyFont="1" applyFill="1" applyBorder="1" applyAlignment="1">
      <alignment wrapText="1"/>
    </xf>
    <xf numFmtId="0" fontId="86" fillId="28" borderId="67" xfId="196" applyFont="1" applyFill="1" applyBorder="1" applyAlignment="1">
      <alignment wrapText="1"/>
    </xf>
    <xf numFmtId="0" fontId="86" fillId="28" borderId="68" xfId="196" applyFont="1" applyFill="1" applyBorder="1" applyAlignment="1">
      <alignment wrapText="1"/>
    </xf>
    <xf numFmtId="0" fontId="86" fillId="28" borderId="68" xfId="196" applyFont="1" applyFill="1" applyBorder="1" applyAlignment="1">
      <alignment vertical="center" wrapText="1"/>
    </xf>
    <xf numFmtId="0" fontId="86" fillId="28" borderId="73" xfId="196" applyFont="1" applyFill="1" applyBorder="1" applyAlignment="1">
      <alignment wrapText="1"/>
    </xf>
    <xf numFmtId="0" fontId="86" fillId="33" borderId="66" xfId="196" applyFont="1" applyFill="1" applyBorder="1" applyAlignment="1">
      <alignment wrapText="1"/>
    </xf>
    <xf numFmtId="0" fontId="86" fillId="28" borderId="69" xfId="196" applyFont="1" applyFill="1" applyBorder="1" applyAlignment="1">
      <alignment vertical="center" wrapText="1"/>
    </xf>
    <xf numFmtId="0" fontId="86" fillId="28" borderId="69" xfId="196" applyFont="1" applyFill="1" applyBorder="1"/>
    <xf numFmtId="0" fontId="86" fillId="28" borderId="71" xfId="196" applyFont="1" applyFill="1" applyBorder="1" applyAlignment="1">
      <alignment wrapText="1"/>
    </xf>
    <xf numFmtId="0" fontId="86" fillId="28" borderId="72" xfId="196" applyFont="1" applyFill="1" applyBorder="1" applyAlignment="1">
      <alignment wrapText="1"/>
    </xf>
    <xf numFmtId="0" fontId="86" fillId="28" borderId="72" xfId="196" applyFont="1" applyFill="1" applyBorder="1" applyAlignment="1">
      <alignment vertical="center" wrapText="1"/>
    </xf>
    <xf numFmtId="0" fontId="86" fillId="28" borderId="72" xfId="196" applyFont="1" applyFill="1" applyBorder="1"/>
    <xf numFmtId="0" fontId="86" fillId="0" borderId="72" xfId="196" applyFont="1" applyFill="1" applyBorder="1" applyAlignment="1">
      <alignment wrapText="1"/>
    </xf>
    <xf numFmtId="0" fontId="86" fillId="28" borderId="75" xfId="196" applyFont="1" applyFill="1" applyBorder="1" applyAlignment="1">
      <alignment wrapText="1"/>
    </xf>
    <xf numFmtId="0" fontId="84" fillId="28" borderId="67" xfId="149" applyFont="1" applyFill="1" applyBorder="1" applyAlignment="1">
      <alignment horizontal="center"/>
    </xf>
    <xf numFmtId="0" fontId="84" fillId="28" borderId="68" xfId="149" applyFont="1" applyFill="1" applyBorder="1" applyAlignment="1">
      <alignment horizontal="center"/>
    </xf>
    <xf numFmtId="49" fontId="84" fillId="28" borderId="68" xfId="149" applyNumberFormat="1" applyFont="1" applyFill="1" applyBorder="1" applyAlignment="1">
      <alignment horizontal="center"/>
    </xf>
    <xf numFmtId="49" fontId="67" fillId="0" borderId="68" xfId="149" applyNumberFormat="1" applyFont="1" applyFill="1" applyBorder="1" applyAlignment="1">
      <alignment horizontal="center" vertical="center"/>
    </xf>
    <xf numFmtId="49" fontId="67" fillId="0" borderId="73" xfId="149" applyNumberFormat="1" applyFont="1" applyFill="1" applyBorder="1" applyAlignment="1">
      <alignment horizontal="center" vertical="center"/>
    </xf>
    <xf numFmtId="0" fontId="84" fillId="28" borderId="66" xfId="149" applyFont="1" applyFill="1" applyBorder="1" applyAlignment="1">
      <alignment horizontal="center"/>
    </xf>
    <xf numFmtId="0" fontId="84" fillId="28" borderId="69" xfId="149" applyFont="1" applyFill="1" applyBorder="1" applyAlignment="1">
      <alignment horizontal="center"/>
    </xf>
    <xf numFmtId="49" fontId="84" fillId="28" borderId="69" xfId="149" applyNumberFormat="1" applyFont="1" applyFill="1" applyBorder="1" applyAlignment="1">
      <alignment horizontal="center"/>
    </xf>
    <xf numFmtId="49" fontId="67" fillId="0" borderId="69" xfId="149" applyNumberFormat="1" applyFont="1" applyFill="1" applyBorder="1" applyAlignment="1">
      <alignment horizontal="center" vertical="center"/>
    </xf>
    <xf numFmtId="0" fontId="67" fillId="34" borderId="74" xfId="149" applyFont="1" applyFill="1" applyBorder="1" applyAlignment="1">
      <alignment vertical="center"/>
    </xf>
    <xf numFmtId="0" fontId="67" fillId="0" borderId="69" xfId="149" applyFont="1" applyFill="1" applyBorder="1" applyAlignment="1">
      <alignment horizontal="center" vertical="center"/>
    </xf>
    <xf numFmtId="49" fontId="67" fillId="33" borderId="69" xfId="149" applyNumberFormat="1" applyFont="1" applyFill="1" applyBorder="1" applyAlignment="1">
      <alignment horizontal="center" vertical="center"/>
    </xf>
    <xf numFmtId="49" fontId="67" fillId="33" borderId="74" xfId="149" applyNumberFormat="1" applyFont="1" applyFill="1" applyBorder="1" applyAlignment="1">
      <alignment horizontal="center" vertical="center"/>
    </xf>
    <xf numFmtId="0" fontId="67" fillId="0" borderId="69" xfId="149" applyFont="1" applyBorder="1" applyAlignment="1">
      <alignment vertical="center"/>
    </xf>
    <xf numFmtId="0" fontId="67" fillId="28" borderId="69" xfId="149" applyFont="1" applyFill="1" applyBorder="1" applyAlignment="1">
      <alignment horizontal="center" vertical="center"/>
    </xf>
    <xf numFmtId="0" fontId="67" fillId="28" borderId="69" xfId="149" applyFont="1" applyFill="1" applyBorder="1" applyAlignment="1">
      <alignment vertical="center"/>
    </xf>
    <xf numFmtId="0" fontId="67" fillId="28" borderId="66" xfId="149" applyFont="1" applyFill="1" applyBorder="1" applyAlignment="1">
      <alignment horizontal="center" vertical="center"/>
    </xf>
    <xf numFmtId="0" fontId="67" fillId="28" borderId="74" xfId="149" applyFont="1" applyFill="1" applyBorder="1" applyAlignment="1">
      <alignment horizontal="center" vertical="center"/>
    </xf>
    <xf numFmtId="0" fontId="67" fillId="0" borderId="66" xfId="149" applyFont="1" applyBorder="1" applyAlignment="1">
      <alignment horizontal="center" vertical="center"/>
    </xf>
    <xf numFmtId="0" fontId="56" fillId="0" borderId="69" xfId="149" applyFont="1" applyBorder="1" applyAlignment="1">
      <alignment horizontal="center"/>
    </xf>
    <xf numFmtId="0" fontId="67" fillId="0" borderId="69" xfId="149" applyFont="1" applyFill="1" applyBorder="1" applyAlignment="1">
      <alignment vertical="center"/>
    </xf>
    <xf numFmtId="0" fontId="67" fillId="34" borderId="66" xfId="149" applyFont="1" applyFill="1" applyBorder="1" applyAlignment="1">
      <alignment horizontal="center" vertical="center"/>
    </xf>
    <xf numFmtId="0" fontId="56" fillId="34" borderId="69" xfId="149" applyFont="1" applyFill="1" applyBorder="1" applyAlignment="1">
      <alignment horizontal="center"/>
    </xf>
    <xf numFmtId="0" fontId="67" fillId="34" borderId="69" xfId="149" applyFont="1" applyFill="1" applyBorder="1" applyAlignment="1">
      <alignment horizontal="center" vertical="center"/>
    </xf>
    <xf numFmtId="0" fontId="67" fillId="0" borderId="69" xfId="149" applyFont="1" applyBorder="1" applyAlignment="1">
      <alignment horizontal="center" vertical="center"/>
    </xf>
    <xf numFmtId="0" fontId="56" fillId="34" borderId="74" xfId="149" applyFont="1" applyFill="1" applyBorder="1"/>
    <xf numFmtId="0" fontId="85" fillId="33" borderId="66" xfId="149" applyFont="1" applyFill="1" applyBorder="1" applyAlignment="1">
      <alignment horizontal="center" vertical="center"/>
    </xf>
    <xf numFmtId="0" fontId="74" fillId="33" borderId="69" xfId="149" applyFont="1" applyFill="1" applyBorder="1" applyAlignment="1">
      <alignment horizontal="center"/>
    </xf>
    <xf numFmtId="0" fontId="85" fillId="33" borderId="69" xfId="149" applyFont="1" applyFill="1" applyBorder="1" applyAlignment="1">
      <alignment horizontal="center" vertical="center"/>
    </xf>
    <xf numFmtId="0" fontId="67" fillId="28" borderId="71" xfId="149" applyFont="1" applyFill="1" applyBorder="1" applyAlignment="1">
      <alignment horizontal="center" vertical="center"/>
    </xf>
    <xf numFmtId="0" fontId="56" fillId="28" borderId="72" xfId="149" applyFont="1" applyFill="1" applyBorder="1" applyAlignment="1">
      <alignment horizontal="center"/>
    </xf>
    <xf numFmtId="0" fontId="67" fillId="28" borderId="72" xfId="149" applyFont="1" applyFill="1" applyBorder="1" applyAlignment="1">
      <alignment horizontal="center" vertical="center"/>
    </xf>
    <xf numFmtId="0" fontId="67" fillId="34" borderId="81" xfId="149" applyFont="1" applyFill="1" applyBorder="1" applyAlignment="1">
      <alignment vertical="center"/>
    </xf>
    <xf numFmtId="0" fontId="67" fillId="0" borderId="68" xfId="177" applyFont="1" applyBorder="1" applyAlignment="1">
      <alignment horizontal="center" vertical="center" wrapText="1"/>
    </xf>
    <xf numFmtId="0" fontId="67" fillId="28" borderId="68" xfId="177" applyFont="1" applyFill="1" applyBorder="1" applyAlignment="1">
      <alignment horizontal="center" vertical="center" wrapText="1"/>
    </xf>
    <xf numFmtId="0" fontId="56" fillId="28" borderId="68" xfId="177" applyFont="1" applyFill="1" applyBorder="1" applyAlignment="1">
      <alignment wrapText="1"/>
    </xf>
    <xf numFmtId="0" fontId="56" fillId="28" borderId="73" xfId="177" applyFont="1" applyFill="1" applyBorder="1" applyAlignment="1">
      <alignment wrapText="1"/>
    </xf>
    <xf numFmtId="0" fontId="67" fillId="28" borderId="66" xfId="177" applyFont="1" applyFill="1" applyBorder="1" applyAlignment="1">
      <alignment horizontal="center" vertical="center" wrapText="1"/>
    </xf>
    <xf numFmtId="0" fontId="67" fillId="28" borderId="69" xfId="177" applyFont="1" applyFill="1" applyBorder="1" applyAlignment="1">
      <alignment horizontal="center" vertical="center" wrapText="1"/>
    </xf>
    <xf numFmtId="0" fontId="56" fillId="28" borderId="69" xfId="177" applyFont="1" applyFill="1" applyBorder="1" applyAlignment="1">
      <alignment wrapText="1"/>
    </xf>
    <xf numFmtId="0" fontId="56" fillId="28" borderId="74" xfId="177" applyFont="1" applyFill="1" applyBorder="1" applyAlignment="1">
      <alignment wrapText="1"/>
    </xf>
    <xf numFmtId="0" fontId="67" fillId="28" borderId="69" xfId="177" applyFont="1" applyFill="1" applyBorder="1"/>
    <xf numFmtId="0" fontId="67" fillId="28" borderId="69" xfId="177" applyFont="1" applyFill="1" applyBorder="1" applyAlignment="1">
      <alignment horizontal="center"/>
    </xf>
    <xf numFmtId="0" fontId="56" fillId="28" borderId="69" xfId="177" applyFont="1" applyFill="1" applyBorder="1"/>
    <xf numFmtId="0" fontId="56" fillId="28" borderId="74" xfId="177" applyFont="1" applyFill="1" applyBorder="1"/>
    <xf numFmtId="0" fontId="67" fillId="28" borderId="66" xfId="177" applyFont="1" applyFill="1" applyBorder="1" applyAlignment="1">
      <alignment horizontal="center"/>
    </xf>
    <xf numFmtId="0" fontId="84" fillId="28" borderId="69" xfId="177" applyFont="1" applyFill="1" applyBorder="1"/>
    <xf numFmtId="0" fontId="67" fillId="0" borderId="69" xfId="177" applyFont="1" applyFill="1" applyBorder="1"/>
    <xf numFmtId="0" fontId="67" fillId="0" borderId="80" xfId="177" applyFont="1" applyBorder="1" applyAlignment="1">
      <alignment horizontal="center" vertical="center" wrapText="1"/>
    </xf>
    <xf numFmtId="0" fontId="67" fillId="0" borderId="76" xfId="177" applyFont="1" applyBorder="1" applyAlignment="1">
      <alignment horizontal="center" vertical="center" wrapText="1"/>
    </xf>
    <xf numFmtId="0" fontId="67" fillId="28" borderId="76" xfId="177" applyFont="1" applyFill="1" applyBorder="1" applyAlignment="1">
      <alignment horizontal="center" vertical="center" wrapText="1"/>
    </xf>
    <xf numFmtId="0" fontId="56" fillId="28" borderId="76" xfId="177" quotePrefix="1" applyFont="1" applyFill="1" applyBorder="1" applyAlignment="1">
      <alignment wrapText="1"/>
    </xf>
    <xf numFmtId="0" fontId="56" fillId="28" borderId="76" xfId="177" applyFont="1" applyFill="1" applyBorder="1" applyAlignment="1">
      <alignment wrapText="1"/>
    </xf>
    <xf numFmtId="0" fontId="67" fillId="0" borderId="82" xfId="177" applyFont="1" applyBorder="1" applyAlignment="1">
      <alignment horizontal="center" vertical="center" wrapText="1"/>
    </xf>
    <xf numFmtId="0" fontId="67" fillId="0" borderId="83" xfId="177" applyFont="1" applyBorder="1" applyAlignment="1">
      <alignment horizontal="center" vertical="center" wrapText="1"/>
    </xf>
    <xf numFmtId="0" fontId="67" fillId="28" borderId="83" xfId="177" applyFont="1" applyFill="1" applyBorder="1"/>
    <xf numFmtId="0" fontId="56" fillId="0" borderId="83" xfId="177" applyFont="1" applyBorder="1"/>
    <xf numFmtId="0" fontId="56" fillId="0" borderId="84" xfId="177" applyFont="1" applyBorder="1"/>
    <xf numFmtId="0" fontId="67" fillId="28" borderId="67" xfId="177" applyFont="1" applyFill="1" applyBorder="1" applyAlignment="1">
      <alignment horizontal="center" vertical="center" wrapText="1"/>
    </xf>
    <xf numFmtId="0" fontId="67" fillId="0" borderId="78" xfId="177" applyFont="1" applyBorder="1" applyAlignment="1">
      <alignment horizontal="center"/>
    </xf>
    <xf numFmtId="0" fontId="67" fillId="0" borderId="70" xfId="177" applyFont="1" applyBorder="1" applyAlignment="1">
      <alignment horizontal="center"/>
    </xf>
    <xf numFmtId="0" fontId="67" fillId="28" borderId="70" xfId="177" applyFont="1" applyFill="1" applyBorder="1" applyAlignment="1">
      <alignment horizontal="center"/>
    </xf>
    <xf numFmtId="0" fontId="56" fillId="28" borderId="70" xfId="177" applyFont="1" applyFill="1" applyBorder="1"/>
    <xf numFmtId="0" fontId="56" fillId="28" borderId="77" xfId="177" applyFont="1" applyFill="1" applyBorder="1" applyAlignment="1">
      <alignment wrapText="1"/>
    </xf>
    <xf numFmtId="0" fontId="56" fillId="28" borderId="79" xfId="177" applyFont="1" applyFill="1" applyBorder="1"/>
    <xf numFmtId="0" fontId="60" fillId="30" borderId="63" xfId="159" applyFont="1" applyFill="1" applyBorder="1" applyAlignment="1">
      <alignment horizontal="center" vertical="center" wrapText="1"/>
    </xf>
    <xf numFmtId="0" fontId="60" fillId="30" borderId="46" xfId="159" applyFont="1" applyFill="1" applyBorder="1" applyAlignment="1">
      <alignment vertical="center" wrapText="1"/>
    </xf>
    <xf numFmtId="0" fontId="60" fillId="30" borderId="45" xfId="159" applyFont="1" applyFill="1" applyBorder="1" applyAlignment="1">
      <alignment vertical="center" wrapText="1"/>
    </xf>
    <xf numFmtId="0" fontId="60" fillId="30" borderId="27" xfId="0" applyFont="1" applyFill="1" applyBorder="1" applyAlignment="1">
      <alignment horizontal="center" vertical="center" wrapText="1"/>
    </xf>
    <xf numFmtId="9" fontId="60" fillId="30" borderId="8" xfId="0" applyNumberFormat="1" applyFont="1" applyFill="1" applyBorder="1" applyAlignment="1">
      <alignment horizontal="center" vertical="center" wrapText="1"/>
    </xf>
    <xf numFmtId="0" fontId="60" fillId="30" borderId="27" xfId="159" applyFont="1" applyFill="1" applyBorder="1" applyAlignment="1">
      <alignment horizontal="center" vertical="center" wrapText="1"/>
    </xf>
    <xf numFmtId="9" fontId="60" fillId="30" borderId="27" xfId="159" applyNumberFormat="1" applyFont="1" applyFill="1" applyBorder="1" applyAlignment="1">
      <alignment horizontal="center" vertical="center" wrapText="1"/>
    </xf>
    <xf numFmtId="9" fontId="60" fillId="30" borderId="13" xfId="159" applyNumberFormat="1" applyFont="1" applyFill="1" applyBorder="1" applyAlignment="1">
      <alignment horizontal="center" vertical="center" wrapText="1"/>
    </xf>
    <xf numFmtId="0" fontId="60" fillId="30" borderId="14" xfId="159" applyFont="1" applyFill="1" applyBorder="1" applyAlignment="1">
      <alignment horizontal="center" vertical="center" wrapText="1"/>
    </xf>
    <xf numFmtId="0" fontId="118" fillId="30" borderId="55" xfId="159" applyFont="1" applyFill="1" applyBorder="1" applyAlignment="1">
      <alignment horizontal="center" vertical="center" wrapText="1"/>
    </xf>
    <xf numFmtId="0" fontId="118" fillId="30" borderId="8" xfId="0" applyFont="1" applyFill="1" applyBorder="1" applyAlignment="1">
      <alignment horizontal="center" vertical="center" wrapText="1"/>
    </xf>
    <xf numFmtId="0" fontId="60" fillId="30" borderId="7" xfId="150" applyFont="1" applyFill="1" applyBorder="1" applyAlignment="1">
      <alignment horizontal="center" vertical="center" wrapText="1"/>
    </xf>
    <xf numFmtId="49" fontId="76" fillId="30" borderId="27" xfId="159" applyNumberFormat="1" applyFont="1" applyFill="1" applyBorder="1" applyAlignment="1">
      <alignment horizontal="center" vertical="center" wrapText="1"/>
    </xf>
    <xf numFmtId="49" fontId="76" fillId="30" borderId="7" xfId="159" applyNumberFormat="1" applyFont="1" applyFill="1" applyBorder="1" applyAlignment="1">
      <alignment horizontal="center" vertical="center" wrapText="1"/>
    </xf>
    <xf numFmtId="49" fontId="76" fillId="30" borderId="53" xfId="159" applyNumberFormat="1" applyFont="1" applyFill="1" applyBorder="1" applyAlignment="1">
      <alignment horizontal="center" vertical="center" wrapText="1"/>
    </xf>
    <xf numFmtId="49" fontId="76" fillId="30" borderId="27" xfId="150" applyNumberFormat="1" applyFont="1" applyFill="1" applyBorder="1" applyAlignment="1">
      <alignment horizontal="center" vertical="center" wrapText="1"/>
    </xf>
    <xf numFmtId="49" fontId="76" fillId="30" borderId="59" xfId="159" applyNumberFormat="1" applyFont="1" applyFill="1" applyBorder="1" applyAlignment="1">
      <alignment horizontal="center" vertical="center" wrapText="1"/>
    </xf>
    <xf numFmtId="0" fontId="105" fillId="0" borderId="7" xfId="201" applyFont="1" applyFill="1" applyBorder="1" applyAlignment="1">
      <alignment horizontal="left" vertical="center" wrapText="1" indent="3"/>
    </xf>
    <xf numFmtId="0" fontId="105" fillId="0" borderId="8" xfId="150" applyFont="1" applyFill="1" applyBorder="1" applyAlignment="1">
      <alignment horizontal="left" vertical="center" wrapText="1"/>
    </xf>
    <xf numFmtId="0" fontId="105" fillId="0" borderId="36" xfId="150" applyFont="1" applyFill="1" applyBorder="1" applyAlignment="1">
      <alignment horizontal="left" vertical="center" wrapText="1"/>
    </xf>
    <xf numFmtId="0" fontId="105" fillId="0" borderId="60" xfId="150" applyFont="1" applyFill="1" applyBorder="1" applyAlignment="1">
      <alignment horizontal="left" vertical="center" wrapText="1"/>
    </xf>
    <xf numFmtId="0" fontId="105" fillId="0" borderId="24" xfId="150" applyFont="1" applyFill="1" applyBorder="1" applyAlignment="1">
      <alignment horizontal="left" vertical="center" wrapText="1"/>
    </xf>
    <xf numFmtId="0" fontId="86" fillId="29" borderId="67" xfId="150" applyFont="1" applyFill="1" applyBorder="1" applyAlignment="1">
      <alignment horizontal="left" vertical="center" wrapText="1"/>
    </xf>
    <xf numFmtId="0" fontId="86" fillId="29" borderId="68" xfId="150" applyFont="1" applyFill="1" applyBorder="1" applyAlignment="1">
      <alignment horizontal="left" vertical="center" wrapText="1"/>
    </xf>
    <xf numFmtId="0" fontId="106" fillId="29" borderId="68" xfId="150" applyFont="1" applyFill="1" applyBorder="1" applyAlignment="1">
      <alignment horizontal="left" vertical="center" wrapText="1"/>
    </xf>
    <xf numFmtId="0" fontId="89" fillId="29" borderId="68" xfId="150" applyFont="1" applyFill="1" applyBorder="1" applyAlignment="1">
      <alignment horizontal="center" vertical="center" wrapText="1"/>
    </xf>
    <xf numFmtId="0" fontId="86" fillId="29" borderId="68" xfId="159" applyFont="1" applyFill="1" applyBorder="1" applyAlignment="1">
      <alignment wrapText="1"/>
    </xf>
    <xf numFmtId="0" fontId="86" fillId="0" borderId="68" xfId="150" applyFont="1" applyFill="1" applyBorder="1" applyAlignment="1">
      <alignment horizontal="left" vertical="center" wrapText="1"/>
    </xf>
    <xf numFmtId="0" fontId="86" fillId="0" borderId="68" xfId="150" applyFont="1" applyFill="1" applyBorder="1" applyAlignment="1">
      <alignment wrapText="1"/>
    </xf>
    <xf numFmtId="0" fontId="86" fillId="0" borderId="68" xfId="150" applyFont="1" applyBorder="1" applyAlignment="1">
      <alignment wrapText="1"/>
    </xf>
    <xf numFmtId="0" fontId="86" fillId="0" borderId="68" xfId="159" applyFont="1" applyFill="1" applyBorder="1" applyAlignment="1">
      <alignment wrapText="1"/>
    </xf>
    <xf numFmtId="0" fontId="86" fillId="29" borderId="68" xfId="159" applyFont="1" applyFill="1" applyBorder="1" applyAlignment="1">
      <alignment vertical="center" wrapText="1"/>
    </xf>
    <xf numFmtId="0" fontId="86" fillId="0" borderId="68" xfId="150" applyFont="1" applyFill="1" applyBorder="1" applyAlignment="1">
      <alignment vertical="center" wrapText="1"/>
    </xf>
    <xf numFmtId="0" fontId="86" fillId="29" borderId="73" xfId="150" applyFont="1" applyFill="1" applyBorder="1" applyAlignment="1">
      <alignment wrapText="1"/>
    </xf>
    <xf numFmtId="0" fontId="86" fillId="29" borderId="66" xfId="150" applyFont="1" applyFill="1" applyBorder="1" applyAlignment="1">
      <alignment horizontal="left" vertical="center" wrapText="1"/>
    </xf>
    <xf numFmtId="0" fontId="86" fillId="29" borderId="69" xfId="150" applyFont="1" applyFill="1" applyBorder="1" applyAlignment="1">
      <alignment horizontal="left" vertical="center" wrapText="1"/>
    </xf>
    <xf numFmtId="0" fontId="106" fillId="29" borderId="69" xfId="150" applyFont="1" applyFill="1" applyBorder="1" applyAlignment="1">
      <alignment horizontal="left" vertical="center" wrapText="1"/>
    </xf>
    <xf numFmtId="0" fontId="89" fillId="29" borderId="69" xfId="150" applyFont="1" applyFill="1" applyBorder="1" applyAlignment="1">
      <alignment horizontal="center" vertical="center" wrapText="1"/>
    </xf>
    <xf numFmtId="0" fontId="86" fillId="29" borderId="69" xfId="159" applyFont="1" applyFill="1" applyBorder="1" applyAlignment="1">
      <alignment wrapText="1"/>
    </xf>
    <xf numFmtId="0" fontId="86" fillId="0" borderId="69" xfId="150" applyFont="1" applyFill="1" applyBorder="1" applyAlignment="1">
      <alignment horizontal="left" vertical="center" wrapText="1"/>
    </xf>
    <xf numFmtId="0" fontId="86" fillId="0" borderId="69" xfId="150" applyFont="1" applyFill="1" applyBorder="1" applyAlignment="1">
      <alignment wrapText="1"/>
    </xf>
    <xf numFmtId="0" fontId="86" fillId="0" borderId="69" xfId="150" applyFont="1" applyBorder="1" applyAlignment="1">
      <alignment wrapText="1"/>
    </xf>
    <xf numFmtId="0" fontId="86" fillId="0" borderId="69" xfId="159" applyFont="1" applyFill="1" applyBorder="1" applyAlignment="1">
      <alignment wrapText="1"/>
    </xf>
    <xf numFmtId="0" fontId="86" fillId="29" borderId="69" xfId="159" applyFont="1" applyFill="1" applyBorder="1" applyAlignment="1">
      <alignment vertical="center" wrapText="1"/>
    </xf>
    <xf numFmtId="0" fontId="86" fillId="0" borderId="69" xfId="150" applyFont="1" applyFill="1" applyBorder="1" applyAlignment="1">
      <alignment vertical="center" wrapText="1"/>
    </xf>
    <xf numFmtId="0" fontId="86" fillId="29" borderId="74" xfId="150" applyFont="1" applyFill="1" applyBorder="1" applyAlignment="1">
      <alignment wrapText="1"/>
    </xf>
    <xf numFmtId="0" fontId="86" fillId="29" borderId="71" xfId="150" applyFont="1" applyFill="1" applyBorder="1" applyAlignment="1">
      <alignment horizontal="left" vertical="center" wrapText="1"/>
    </xf>
    <xf numFmtId="0" fontId="86" fillId="29" borderId="72" xfId="150" applyFont="1" applyFill="1" applyBorder="1" applyAlignment="1">
      <alignment horizontal="left" vertical="center" wrapText="1"/>
    </xf>
    <xf numFmtId="0" fontId="106" fillId="29" borderId="72" xfId="150" applyFont="1" applyFill="1" applyBorder="1" applyAlignment="1">
      <alignment horizontal="left" vertical="center" wrapText="1"/>
    </xf>
    <xf numFmtId="0" fontId="89" fillId="29" borderId="72" xfId="150" applyFont="1" applyFill="1" applyBorder="1" applyAlignment="1">
      <alignment horizontal="center" vertical="center" wrapText="1"/>
    </xf>
    <xf numFmtId="0" fontId="86" fillId="29" borderId="72" xfId="159" applyFont="1" applyFill="1" applyBorder="1" applyAlignment="1">
      <alignment wrapText="1"/>
    </xf>
    <xf numFmtId="0" fontId="86" fillId="0" borderId="72" xfId="150" applyFont="1" applyFill="1" applyBorder="1" applyAlignment="1">
      <alignment horizontal="left" vertical="center" wrapText="1"/>
    </xf>
    <xf numFmtId="0" fontId="86" fillId="0" borderId="72" xfId="150" applyFont="1" applyFill="1" applyBorder="1" applyAlignment="1">
      <alignment wrapText="1"/>
    </xf>
    <xf numFmtId="0" fontId="86" fillId="0" borderId="72" xfId="150" applyFont="1" applyBorder="1" applyAlignment="1">
      <alignment wrapText="1"/>
    </xf>
    <xf numFmtId="0" fontId="86" fillId="0" borderId="72" xfId="159" applyFont="1" applyFill="1" applyBorder="1" applyAlignment="1">
      <alignment wrapText="1"/>
    </xf>
    <xf numFmtId="0" fontId="86" fillId="0" borderId="72" xfId="150" applyFont="1" applyFill="1" applyBorder="1" applyAlignment="1">
      <alignment vertical="center" wrapText="1"/>
    </xf>
    <xf numFmtId="0" fontId="86" fillId="29" borderId="72" xfId="159" applyFont="1" applyFill="1" applyBorder="1" applyAlignment="1">
      <alignment vertical="center" wrapText="1"/>
    </xf>
    <xf numFmtId="0" fontId="86" fillId="29" borderId="75" xfId="150" applyFont="1" applyFill="1" applyBorder="1" applyAlignment="1">
      <alignment wrapText="1"/>
    </xf>
    <xf numFmtId="0" fontId="91" fillId="0" borderId="67" xfId="0" quotePrefix="1" applyFont="1" applyFill="1" applyBorder="1" applyAlignment="1">
      <alignment horizontal="center" vertical="center" wrapText="1"/>
    </xf>
    <xf numFmtId="0" fontId="91" fillId="0" borderId="68" xfId="0" quotePrefix="1" applyFont="1" applyFill="1" applyBorder="1" applyAlignment="1">
      <alignment horizontal="center" vertical="center" wrapText="1"/>
    </xf>
    <xf numFmtId="0" fontId="91" fillId="0" borderId="85" xfId="0" quotePrefix="1" applyFont="1" applyFill="1" applyBorder="1" applyAlignment="1">
      <alignment horizontal="center" vertical="center" wrapText="1"/>
    </xf>
    <xf numFmtId="0" fontId="91" fillId="0" borderId="68" xfId="0" applyFont="1" applyFill="1" applyBorder="1" applyAlignment="1">
      <alignment horizontal="center" vertical="center" wrapText="1"/>
    </xf>
    <xf numFmtId="0" fontId="56" fillId="0" borderId="68" xfId="150" applyFont="1" applyFill="1" applyBorder="1"/>
    <xf numFmtId="0" fontId="91" fillId="0" borderId="68" xfId="159" applyFont="1" applyFill="1" applyBorder="1" applyAlignment="1">
      <alignment horizontal="center" vertical="center" wrapText="1"/>
    </xf>
    <xf numFmtId="0" fontId="73" fillId="0" borderId="68" xfId="0" applyFont="1" applyFill="1" applyBorder="1" applyAlignment="1">
      <alignment horizontal="center" vertical="center" wrapText="1"/>
    </xf>
    <xf numFmtId="0" fontId="91" fillId="0" borderId="73" xfId="0" quotePrefix="1" applyFont="1" applyFill="1" applyBorder="1" applyAlignment="1">
      <alignment horizontal="center" vertical="center" wrapText="1"/>
    </xf>
    <xf numFmtId="0" fontId="91" fillId="0" borderId="66" xfId="0" quotePrefix="1" applyFont="1" applyFill="1" applyBorder="1" applyAlignment="1">
      <alignment horizontal="center" vertical="center" wrapText="1"/>
    </xf>
    <xf numFmtId="0" fontId="91" fillId="0" borderId="69" xfId="0" quotePrefix="1" applyFont="1" applyFill="1" applyBorder="1" applyAlignment="1">
      <alignment horizontal="center" vertical="center" wrapText="1"/>
    </xf>
    <xf numFmtId="0" fontId="91" fillId="0" borderId="69" xfId="0" applyFont="1" applyFill="1" applyBorder="1" applyAlignment="1">
      <alignment horizontal="center" vertical="center" wrapText="1"/>
    </xf>
    <xf numFmtId="0" fontId="56" fillId="0" borderId="69" xfId="150" applyFont="1" applyFill="1" applyBorder="1"/>
    <xf numFmtId="0" fontId="91" fillId="0" borderId="69" xfId="159" applyFont="1" applyFill="1" applyBorder="1" applyAlignment="1">
      <alignment horizontal="center" vertical="center" wrapText="1"/>
    </xf>
    <xf numFmtId="0" fontId="73" fillId="0" borderId="69" xfId="0" applyFont="1" applyFill="1" applyBorder="1" applyAlignment="1">
      <alignment horizontal="center" vertical="center" wrapText="1"/>
    </xf>
    <xf numFmtId="0" fontId="91" fillId="0" borderId="74" xfId="0" quotePrefix="1" applyFont="1" applyFill="1" applyBorder="1" applyAlignment="1">
      <alignment horizontal="center" vertical="center" wrapText="1"/>
    </xf>
    <xf numFmtId="0" fontId="86" fillId="0" borderId="66" xfId="0" applyFont="1" applyFill="1" applyBorder="1" applyAlignment="1">
      <alignment horizontal="left" vertical="center" wrapText="1"/>
    </xf>
    <xf numFmtId="0" fontId="86" fillId="0" borderId="69" xfId="0" applyFont="1" applyFill="1" applyBorder="1" applyAlignment="1">
      <alignment horizontal="left" vertical="center" wrapText="1"/>
    </xf>
    <xf numFmtId="0" fontId="106" fillId="0" borderId="69" xfId="0" applyFont="1" applyFill="1" applyBorder="1" applyAlignment="1">
      <alignment horizontal="left" vertical="center" wrapText="1"/>
    </xf>
    <xf numFmtId="0" fontId="86" fillId="0" borderId="69" xfId="0" applyFont="1" applyBorder="1" applyAlignment="1">
      <alignment wrapText="1"/>
    </xf>
    <xf numFmtId="0" fontId="86" fillId="0" borderId="69" xfId="0" applyFont="1" applyFill="1" applyBorder="1" applyAlignment="1">
      <alignment wrapText="1"/>
    </xf>
    <xf numFmtId="0" fontId="86" fillId="0" borderId="69" xfId="150" applyFont="1" applyBorder="1" applyAlignment="1">
      <alignment vertical="center" wrapText="1"/>
    </xf>
    <xf numFmtId="0" fontId="86" fillId="35" borderId="69" xfId="0" applyFont="1" applyFill="1" applyBorder="1" applyAlignment="1">
      <alignment wrapText="1"/>
    </xf>
    <xf numFmtId="0" fontId="133" fillId="32" borderId="69" xfId="0" applyFont="1" applyFill="1" applyBorder="1" applyAlignment="1">
      <alignment wrapText="1"/>
    </xf>
    <xf numFmtId="0" fontId="86" fillId="29" borderId="69" xfId="0" applyFont="1" applyFill="1" applyBorder="1" applyAlignment="1">
      <alignment horizontal="left" vertical="center" wrapText="1"/>
    </xf>
    <xf numFmtId="0" fontId="133" fillId="32" borderId="69" xfId="0" applyFont="1" applyFill="1" applyBorder="1" applyAlignment="1">
      <alignment horizontal="left" vertical="center" wrapText="1"/>
    </xf>
    <xf numFmtId="0" fontId="86" fillId="35" borderId="69" xfId="0" applyFont="1" applyFill="1" applyBorder="1" applyAlignment="1">
      <alignment horizontal="left" vertical="center" wrapText="1"/>
    </xf>
    <xf numFmtId="0" fontId="133" fillId="0" borderId="69" xfId="0" applyFont="1" applyFill="1" applyBorder="1" applyAlignment="1">
      <alignment horizontal="left" vertical="center" wrapText="1"/>
    </xf>
    <xf numFmtId="0" fontId="86" fillId="29" borderId="66" xfId="0" applyFont="1" applyFill="1" applyBorder="1" applyAlignment="1">
      <alignment horizontal="left" vertical="center" wrapText="1"/>
    </xf>
    <xf numFmtId="0" fontId="133" fillId="0" borderId="69" xfId="0" applyFont="1" applyFill="1" applyBorder="1" applyAlignment="1">
      <alignment wrapText="1"/>
    </xf>
    <xf numFmtId="0" fontId="86" fillId="0" borderId="69" xfId="0" applyFont="1" applyBorder="1" applyAlignment="1">
      <alignment horizontal="center" wrapText="1"/>
    </xf>
    <xf numFmtId="0" fontId="86" fillId="29" borderId="78" xfId="0" applyFont="1" applyFill="1" applyBorder="1" applyAlignment="1">
      <alignment horizontal="left" vertical="center" wrapText="1"/>
    </xf>
    <xf numFmtId="0" fontId="86" fillId="29" borderId="70" xfId="0" applyFont="1" applyFill="1" applyBorder="1" applyAlignment="1">
      <alignment wrapText="1"/>
    </xf>
    <xf numFmtId="0" fontId="86" fillId="0" borderId="70" xfId="0" applyFont="1" applyBorder="1" applyAlignment="1">
      <alignment wrapText="1"/>
    </xf>
    <xf numFmtId="0" fontId="86" fillId="0" borderId="70" xfId="0" applyFont="1" applyFill="1" applyBorder="1" applyAlignment="1">
      <alignment horizontal="left" vertical="center" wrapText="1"/>
    </xf>
    <xf numFmtId="0" fontId="86" fillId="0" borderId="70" xfId="0" applyFont="1" applyFill="1" applyBorder="1" applyAlignment="1">
      <alignment wrapText="1"/>
    </xf>
    <xf numFmtId="0" fontId="56" fillId="0" borderId="70" xfId="150" applyFont="1" applyFill="1" applyBorder="1"/>
    <xf numFmtId="0" fontId="86" fillId="0" borderId="70" xfId="150" applyFont="1" applyBorder="1" applyAlignment="1">
      <alignment wrapText="1"/>
    </xf>
    <xf numFmtId="0" fontId="86" fillId="0" borderId="70" xfId="150" applyFont="1" applyBorder="1" applyAlignment="1">
      <alignment vertical="center" wrapText="1"/>
    </xf>
    <xf numFmtId="0" fontId="86" fillId="0" borderId="70" xfId="150" applyFont="1" applyFill="1" applyBorder="1" applyAlignment="1">
      <alignment vertical="center" wrapText="1"/>
    </xf>
    <xf numFmtId="0" fontId="133" fillId="0" borderId="70" xfId="0" applyFont="1" applyFill="1" applyBorder="1" applyAlignment="1">
      <alignment horizontal="left" vertical="center" wrapText="1"/>
    </xf>
    <xf numFmtId="0" fontId="91" fillId="0" borderId="70" xfId="159" applyFont="1" applyFill="1" applyBorder="1" applyAlignment="1">
      <alignment horizontal="center" vertical="center" wrapText="1"/>
    </xf>
    <xf numFmtId="0" fontId="86" fillId="35" borderId="70" xfId="0" applyFont="1" applyFill="1" applyBorder="1" applyAlignment="1">
      <alignment horizontal="left" vertical="center" wrapText="1"/>
    </xf>
    <xf numFmtId="0" fontId="86" fillId="29" borderId="79" xfId="150" applyFont="1" applyFill="1" applyBorder="1" applyAlignment="1">
      <alignment wrapText="1"/>
    </xf>
    <xf numFmtId="0" fontId="91" fillId="30" borderId="37" xfId="0" applyFont="1" applyFill="1" applyBorder="1" applyAlignment="1">
      <alignment horizontal="center" vertical="center" wrapText="1"/>
    </xf>
    <xf numFmtId="0" fontId="91" fillId="30" borderId="37" xfId="0" quotePrefix="1" applyFont="1" applyFill="1" applyBorder="1" applyAlignment="1">
      <alignment horizontal="center" vertical="center" wrapText="1"/>
    </xf>
    <xf numFmtId="0" fontId="91" fillId="30" borderId="37" xfId="201" quotePrefix="1" applyFont="1" applyFill="1" applyBorder="1" applyAlignment="1">
      <alignment horizontal="center" vertical="center" wrapText="1"/>
    </xf>
    <xf numFmtId="0" fontId="76" fillId="30" borderId="37" xfId="0" quotePrefix="1" applyFont="1" applyFill="1" applyBorder="1" applyAlignment="1">
      <alignment horizontal="center" vertical="center" wrapText="1"/>
    </xf>
    <xf numFmtId="49" fontId="129" fillId="30" borderId="37" xfId="0" applyNumberFormat="1" applyFont="1" applyFill="1" applyBorder="1" applyAlignment="1">
      <alignment horizontal="center" vertical="center"/>
    </xf>
    <xf numFmtId="0" fontId="91" fillId="30" borderId="37" xfId="150" quotePrefix="1" applyFont="1" applyFill="1" applyBorder="1" applyAlignment="1">
      <alignment horizontal="center" vertical="center" wrapText="1"/>
    </xf>
    <xf numFmtId="0" fontId="91" fillId="30" borderId="38" xfId="0" quotePrefix="1" applyFont="1" applyFill="1" applyBorder="1" applyAlignment="1">
      <alignment horizontal="center" vertical="center" wrapText="1"/>
    </xf>
    <xf numFmtId="0" fontId="83" fillId="30" borderId="56" xfId="177" applyFont="1" applyFill="1" applyBorder="1" applyAlignment="1">
      <alignment horizontal="centerContinuous" vertical="center" wrapText="1"/>
    </xf>
    <xf numFmtId="0" fontId="83" fillId="30" borderId="46" xfId="177" applyFont="1" applyFill="1" applyBorder="1" applyAlignment="1">
      <alignment horizontal="centerContinuous" vertical="center" wrapText="1"/>
    </xf>
    <xf numFmtId="0" fontId="83" fillId="30" borderId="45" xfId="177" applyFont="1" applyFill="1" applyBorder="1" applyAlignment="1">
      <alignment horizontal="centerContinuous" vertical="center" wrapText="1"/>
    </xf>
    <xf numFmtId="49" fontId="83" fillId="30" borderId="7" xfId="177" applyNumberFormat="1" applyFont="1" applyFill="1" applyBorder="1" applyAlignment="1">
      <alignment horizontal="center" vertical="center" wrapText="1"/>
    </xf>
    <xf numFmtId="0" fontId="83" fillId="30" borderId="0" xfId="177" applyFont="1" applyFill="1" applyBorder="1" applyAlignment="1">
      <alignment horizontal="center" vertical="center" wrapText="1"/>
    </xf>
    <xf numFmtId="0" fontId="83" fillId="30" borderId="7" xfId="177" quotePrefix="1" applyFont="1" applyFill="1" applyBorder="1" applyAlignment="1">
      <alignment horizontal="center" vertical="center" wrapText="1"/>
    </xf>
    <xf numFmtId="0" fontId="83" fillId="30" borderId="36" xfId="177" applyFont="1" applyFill="1" applyBorder="1" applyAlignment="1">
      <alignment horizontal="center" vertical="center" wrapText="1"/>
    </xf>
    <xf numFmtId="0" fontId="83" fillId="30" borderId="7" xfId="177" applyFont="1" applyFill="1" applyBorder="1" applyAlignment="1">
      <alignment horizontal="center" vertical="center" wrapText="1"/>
    </xf>
    <xf numFmtId="0" fontId="83" fillId="30" borderId="41" xfId="177" applyFont="1" applyFill="1" applyBorder="1" applyAlignment="1">
      <alignment horizontal="center" vertical="center" wrapText="1"/>
    </xf>
    <xf numFmtId="0" fontId="131" fillId="0" borderId="0" xfId="0" applyFont="1" applyFill="1" applyBorder="1"/>
    <xf numFmtId="0" fontId="131" fillId="0" borderId="0" xfId="0" applyFont="1" applyFill="1"/>
    <xf numFmtId="0" fontId="131" fillId="0" borderId="0" xfId="0" applyFont="1"/>
    <xf numFmtId="0" fontId="87" fillId="27" borderId="7" xfId="0" applyFont="1" applyFill="1" applyBorder="1" applyAlignment="1">
      <alignment horizontal="left" vertical="center" wrapText="1"/>
    </xf>
    <xf numFmtId="0" fontId="93" fillId="0" borderId="7" xfId="0" applyFont="1" applyFill="1" applyBorder="1" applyAlignment="1">
      <alignment horizontal="left" vertical="center" wrapText="1"/>
    </xf>
    <xf numFmtId="0" fontId="105" fillId="0" borderId="7" xfId="0" applyFont="1" applyFill="1" applyBorder="1" applyAlignment="1">
      <alignment horizontal="left" vertical="center" wrapText="1"/>
    </xf>
    <xf numFmtId="0" fontId="105" fillId="27" borderId="7" xfId="0" applyFont="1" applyFill="1" applyBorder="1" applyAlignment="1">
      <alignment horizontal="left" vertical="center" wrapText="1"/>
    </xf>
    <xf numFmtId="0" fontId="105" fillId="0" borderId="7" xfId="150" applyFont="1" applyFill="1" applyBorder="1" applyAlignment="1">
      <alignment horizontal="left" vertical="center" wrapText="1"/>
    </xf>
    <xf numFmtId="0" fontId="77" fillId="30" borderId="63" xfId="150" applyFont="1" applyFill="1" applyBorder="1" applyAlignment="1">
      <alignment horizontal="center" vertical="center" wrapText="1"/>
    </xf>
    <xf numFmtId="0" fontId="77" fillId="30" borderId="46" xfId="150" applyFont="1" applyFill="1" applyBorder="1" applyAlignment="1">
      <alignment vertical="center" wrapText="1"/>
    </xf>
    <xf numFmtId="0" fontId="77" fillId="30" borderId="45" xfId="150" applyFont="1" applyFill="1" applyBorder="1" applyAlignment="1">
      <alignment vertical="center" wrapText="1"/>
    </xf>
    <xf numFmtId="0" fontId="77" fillId="30" borderId="27" xfId="0" applyFont="1" applyFill="1" applyBorder="1" applyAlignment="1">
      <alignment horizontal="center" vertical="center" wrapText="1"/>
    </xf>
    <xf numFmtId="9" fontId="116" fillId="30" borderId="8" xfId="0" applyNumberFormat="1" applyFont="1" applyFill="1" applyBorder="1" applyAlignment="1">
      <alignment horizontal="center" vertical="center" wrapText="1"/>
    </xf>
    <xf numFmtId="0" fontId="77" fillId="30" borderId="27" xfId="150" applyFont="1" applyFill="1" applyBorder="1" applyAlignment="1">
      <alignment horizontal="center" vertical="center" wrapText="1"/>
    </xf>
    <xf numFmtId="9" fontId="77" fillId="30" borderId="27" xfId="150" applyNumberFormat="1" applyFont="1" applyFill="1" applyBorder="1" applyAlignment="1">
      <alignment horizontal="center" vertical="center" wrapText="1"/>
    </xf>
    <xf numFmtId="0" fontId="116" fillId="30" borderId="53" xfId="0" applyFont="1" applyFill="1" applyBorder="1" applyAlignment="1">
      <alignment horizontal="center" vertical="center" wrapText="1"/>
    </xf>
    <xf numFmtId="9" fontId="116" fillId="30" borderId="13" xfId="150" applyNumberFormat="1" applyFont="1" applyFill="1" applyBorder="1" applyAlignment="1">
      <alignment vertical="center" wrapText="1"/>
    </xf>
    <xf numFmtId="9" fontId="116" fillId="30" borderId="7" xfId="150" applyNumberFormat="1" applyFont="1" applyFill="1" applyBorder="1" applyAlignment="1">
      <alignment horizontal="center" vertical="center" wrapText="1"/>
    </xf>
    <xf numFmtId="0" fontId="116" fillId="30" borderId="8" xfId="150" applyFont="1" applyFill="1" applyBorder="1" applyAlignment="1">
      <alignment horizontal="center" vertical="center" wrapText="1"/>
    </xf>
    <xf numFmtId="0" fontId="77" fillId="30" borderId="55" xfId="150" applyFont="1" applyFill="1" applyBorder="1" applyAlignment="1">
      <alignment horizontal="center" vertical="center" wrapText="1"/>
    </xf>
    <xf numFmtId="0" fontId="77" fillId="30" borderId="7" xfId="150" applyFont="1" applyFill="1" applyBorder="1" applyAlignment="1">
      <alignment horizontal="center" vertical="center" wrapText="1"/>
    </xf>
    <xf numFmtId="0" fontId="116" fillId="30" borderId="55" xfId="159" applyFont="1" applyFill="1" applyBorder="1" applyAlignment="1">
      <alignment horizontal="center" vertical="center" wrapText="1"/>
    </xf>
    <xf numFmtId="0" fontId="116" fillId="30" borderId="8" xfId="0" applyFont="1" applyFill="1" applyBorder="1" applyAlignment="1">
      <alignment horizontal="center" vertical="center" wrapText="1"/>
    </xf>
    <xf numFmtId="49" fontId="91" fillId="30" borderId="7" xfId="150" applyNumberFormat="1" applyFont="1" applyFill="1" applyBorder="1" applyAlignment="1">
      <alignment horizontal="center" vertical="center" wrapText="1"/>
    </xf>
    <xf numFmtId="49" fontId="91" fillId="30" borderId="36" xfId="150" applyNumberFormat="1" applyFont="1" applyFill="1" applyBorder="1" applyAlignment="1">
      <alignment horizontal="center" vertical="center" wrapText="1"/>
    </xf>
    <xf numFmtId="49" fontId="76" fillId="30" borderId="7" xfId="150" applyNumberFormat="1" applyFont="1" applyFill="1" applyBorder="1" applyAlignment="1">
      <alignment horizontal="center" vertical="center" wrapText="1"/>
    </xf>
    <xf numFmtId="49" fontId="76" fillId="30" borderId="8" xfId="150" applyNumberFormat="1" applyFont="1" applyFill="1" applyBorder="1" applyAlignment="1">
      <alignment horizontal="center" vertical="center" wrapText="1"/>
    </xf>
    <xf numFmtId="49" fontId="76" fillId="30" borderId="41" xfId="150" applyNumberFormat="1" applyFont="1" applyFill="1" applyBorder="1" applyAlignment="1">
      <alignment horizontal="center" vertical="center" wrapText="1"/>
    </xf>
    <xf numFmtId="0" fontId="86" fillId="0" borderId="67" xfId="0" applyFont="1" applyFill="1" applyBorder="1" applyAlignment="1">
      <alignment wrapText="1"/>
    </xf>
    <xf numFmtId="0" fontId="86" fillId="0" borderId="68" xfId="0" applyFont="1" applyFill="1" applyBorder="1" applyAlignment="1">
      <alignment wrapText="1"/>
    </xf>
    <xf numFmtId="0" fontId="89" fillId="0" borderId="68" xfId="0" applyFont="1" applyFill="1" applyBorder="1" applyAlignment="1">
      <alignment horizontal="center" vertical="center" wrapText="1"/>
    </xf>
    <xf numFmtId="0" fontId="95" fillId="0" borderId="68" xfId="0" applyFont="1" applyFill="1" applyBorder="1" applyAlignment="1">
      <alignment horizontal="left" vertical="center" wrapText="1"/>
    </xf>
    <xf numFmtId="0" fontId="91" fillId="0" borderId="68" xfId="150" applyFont="1" applyFill="1" applyBorder="1" applyAlignment="1">
      <alignment horizontal="center" vertical="center" wrapText="1"/>
    </xf>
    <xf numFmtId="0" fontId="104" fillId="0" borderId="68" xfId="150" applyFont="1" applyFill="1" applyBorder="1" applyAlignment="1">
      <alignment horizontal="left" vertical="center" wrapText="1"/>
    </xf>
    <xf numFmtId="0" fontId="86" fillId="0" borderId="73" xfId="0" applyFont="1" applyFill="1" applyBorder="1" applyAlignment="1">
      <alignment wrapText="1"/>
    </xf>
    <xf numFmtId="0" fontId="86" fillId="0" borderId="78" xfId="0" applyFont="1" applyFill="1" applyBorder="1" applyAlignment="1">
      <alignment wrapText="1"/>
    </xf>
    <xf numFmtId="0" fontId="89" fillId="0" borderId="70" xfId="0" applyFont="1" applyFill="1" applyBorder="1" applyAlignment="1">
      <alignment horizontal="center" vertical="center" wrapText="1"/>
    </xf>
    <xf numFmtId="0" fontId="95" fillId="0" borderId="70" xfId="0" applyFont="1" applyFill="1" applyBorder="1" applyAlignment="1">
      <alignment horizontal="left" vertical="center" wrapText="1"/>
    </xf>
    <xf numFmtId="0" fontId="91" fillId="0" borderId="70" xfId="150" applyFont="1" applyFill="1" applyBorder="1" applyAlignment="1">
      <alignment horizontal="center" vertical="center" wrapText="1"/>
    </xf>
    <xf numFmtId="0" fontId="104" fillId="0" borderId="70" xfId="150" applyFont="1" applyFill="1" applyBorder="1" applyAlignment="1">
      <alignment horizontal="left" vertical="center" wrapText="1"/>
    </xf>
    <xf numFmtId="0" fontId="73" fillId="0" borderId="70" xfId="0" applyFont="1" applyFill="1" applyBorder="1" applyAlignment="1">
      <alignment horizontal="center" vertical="center" wrapText="1"/>
    </xf>
    <xf numFmtId="0" fontId="86" fillId="0" borderId="79" xfId="0" applyFont="1" applyFill="1" applyBorder="1" applyAlignment="1">
      <alignment wrapText="1"/>
    </xf>
    <xf numFmtId="0" fontId="86" fillId="0" borderId="67" xfId="0" applyFont="1" applyFill="1" applyBorder="1" applyAlignment="1">
      <alignment horizontal="left" vertical="center" wrapText="1"/>
    </xf>
    <xf numFmtId="0" fontId="86" fillId="0" borderId="68" xfId="0" applyFont="1" applyFill="1" applyBorder="1" applyAlignment="1">
      <alignment horizontal="left" vertical="center" wrapText="1"/>
    </xf>
    <xf numFmtId="0" fontId="106" fillId="0" borderId="68" xfId="0" applyFont="1" applyFill="1" applyBorder="1" applyAlignment="1">
      <alignment horizontal="left" vertical="center" wrapText="1"/>
    </xf>
    <xf numFmtId="0" fontId="89" fillId="0" borderId="68" xfId="0" applyFont="1" applyBorder="1" applyAlignment="1">
      <alignment horizontal="center" vertical="center" wrapText="1"/>
    </xf>
    <xf numFmtId="0" fontId="86" fillId="0" borderId="68" xfId="0" applyFont="1" applyBorder="1" applyAlignment="1">
      <alignment wrapText="1"/>
    </xf>
    <xf numFmtId="0" fontId="89" fillId="0" borderId="68" xfId="0" applyFont="1" applyFill="1" applyBorder="1" applyAlignment="1">
      <alignment vertical="center" wrapText="1"/>
    </xf>
    <xf numFmtId="0" fontId="86" fillId="0" borderId="68" xfId="0" applyFont="1" applyBorder="1" applyAlignment="1">
      <alignment vertical="center" wrapText="1"/>
    </xf>
    <xf numFmtId="0" fontId="107" fillId="0" borderId="68" xfId="150" applyFont="1" applyFill="1" applyBorder="1" applyAlignment="1">
      <alignment vertical="center" wrapText="1"/>
    </xf>
    <xf numFmtId="0" fontId="107" fillId="35" borderId="68" xfId="150" applyFont="1" applyFill="1" applyBorder="1" applyAlignment="1">
      <alignment vertical="center" wrapText="1"/>
    </xf>
    <xf numFmtId="0" fontId="86" fillId="29" borderId="73" xfId="0" applyFont="1" applyFill="1" applyBorder="1" applyAlignment="1">
      <alignment vertical="center" wrapText="1"/>
    </xf>
    <xf numFmtId="0" fontId="89" fillId="0" borderId="69" xfId="0" applyFont="1" applyBorder="1" applyAlignment="1">
      <alignment horizontal="center" vertical="center" wrapText="1"/>
    </xf>
    <xf numFmtId="9" fontId="89" fillId="0" borderId="69" xfId="0" applyNumberFormat="1" applyFont="1" applyFill="1" applyBorder="1" applyAlignment="1">
      <alignment horizontal="center" vertical="center" wrapText="1"/>
    </xf>
    <xf numFmtId="0" fontId="86" fillId="0" borderId="69" xfId="0" applyFont="1" applyBorder="1" applyAlignment="1">
      <alignment vertical="center" wrapText="1"/>
    </xf>
    <xf numFmtId="0" fontId="91" fillId="0" borderId="69" xfId="150" applyFont="1" applyFill="1" applyBorder="1" applyAlignment="1">
      <alignment horizontal="center" vertical="center" wrapText="1"/>
    </xf>
    <xf numFmtId="0" fontId="107" fillId="0" borderId="69" xfId="150" applyFont="1" applyFill="1" applyBorder="1" applyAlignment="1">
      <alignment vertical="center" wrapText="1"/>
    </xf>
    <xf numFmtId="0" fontId="107" fillId="35" borderId="69" xfId="150" applyFont="1" applyFill="1" applyBorder="1" applyAlignment="1">
      <alignment vertical="center" wrapText="1"/>
    </xf>
    <xf numFmtId="0" fontId="86" fillId="29" borderId="74" xfId="0" applyFont="1" applyFill="1" applyBorder="1" applyAlignment="1">
      <alignment wrapText="1"/>
    </xf>
    <xf numFmtId="0" fontId="86" fillId="27" borderId="69" xfId="0" applyFont="1" applyFill="1" applyBorder="1" applyAlignment="1">
      <alignment horizontal="left" vertical="center" wrapText="1"/>
    </xf>
    <xf numFmtId="0" fontId="86" fillId="29" borderId="74" xfId="0" applyFont="1" applyFill="1" applyBorder="1" applyAlignment="1">
      <alignment horizontal="left" vertical="center" wrapText="1"/>
    </xf>
    <xf numFmtId="0" fontId="89" fillId="29" borderId="78" xfId="0" applyFont="1" applyFill="1" applyBorder="1" applyAlignment="1">
      <alignment horizontal="center" vertical="center" wrapText="1"/>
    </xf>
    <xf numFmtId="0" fontId="89" fillId="29" borderId="70" xfId="0" applyFont="1" applyFill="1" applyBorder="1" applyAlignment="1">
      <alignment horizontal="center" vertical="center" wrapText="1"/>
    </xf>
    <xf numFmtId="0" fontId="89" fillId="0" borderId="70" xfId="0" applyFont="1" applyBorder="1" applyAlignment="1">
      <alignment horizontal="center" vertical="center" wrapText="1"/>
    </xf>
    <xf numFmtId="0" fontId="86" fillId="35" borderId="70" xfId="0" applyFont="1" applyFill="1" applyBorder="1" applyAlignment="1">
      <alignment wrapText="1"/>
    </xf>
    <xf numFmtId="0" fontId="86" fillId="0" borderId="70" xfId="0" applyFont="1" applyBorder="1" applyAlignment="1">
      <alignment vertical="center" wrapText="1"/>
    </xf>
    <xf numFmtId="0" fontId="107" fillId="0" borderId="70" xfId="150" applyFont="1" applyFill="1" applyBorder="1" applyAlignment="1">
      <alignment vertical="center" wrapText="1"/>
    </xf>
    <xf numFmtId="0" fontId="107" fillId="35" borderId="70" xfId="150" applyFont="1" applyFill="1" applyBorder="1" applyAlignment="1">
      <alignment vertical="center" wrapText="1"/>
    </xf>
    <xf numFmtId="0" fontId="86" fillId="29" borderId="79" xfId="0" applyFont="1" applyFill="1" applyBorder="1" applyAlignment="1">
      <alignment wrapText="1"/>
    </xf>
    <xf numFmtId="0" fontId="89" fillId="29" borderId="67" xfId="0" applyFont="1" applyFill="1" applyBorder="1" applyAlignment="1">
      <alignment horizontal="center" vertical="center" wrapText="1"/>
    </xf>
    <xf numFmtId="0" fontId="89" fillId="29" borderId="68" xfId="0" applyFont="1" applyFill="1" applyBorder="1" applyAlignment="1">
      <alignment horizontal="center" vertical="center" wrapText="1"/>
    </xf>
    <xf numFmtId="0" fontId="86" fillId="29" borderId="73" xfId="0" applyFont="1" applyFill="1" applyBorder="1" applyAlignment="1">
      <alignment wrapText="1"/>
    </xf>
    <xf numFmtId="0" fontId="89" fillId="29" borderId="66" xfId="0" applyFont="1" applyFill="1" applyBorder="1" applyAlignment="1">
      <alignment horizontal="center" vertical="center" wrapText="1"/>
    </xf>
    <xf numFmtId="0" fontId="89" fillId="29" borderId="69" xfId="0" applyFont="1" applyFill="1" applyBorder="1" applyAlignment="1">
      <alignment horizontal="center" vertical="center" wrapText="1"/>
    </xf>
    <xf numFmtId="0" fontId="89" fillId="0" borderId="69" xfId="0" applyFont="1" applyFill="1" applyBorder="1" applyAlignment="1">
      <alignment horizontal="center" vertical="center" wrapText="1"/>
    </xf>
    <xf numFmtId="0" fontId="89" fillId="27" borderId="69" xfId="0" applyFont="1" applyFill="1" applyBorder="1" applyAlignment="1">
      <alignment horizontal="center" vertical="center" wrapText="1"/>
    </xf>
    <xf numFmtId="0" fontId="86" fillId="27" borderId="70" xfId="0" applyFont="1" applyFill="1" applyBorder="1" applyAlignment="1">
      <alignment horizontal="left" vertical="center" wrapText="1"/>
    </xf>
    <xf numFmtId="9" fontId="89" fillId="0" borderId="70" xfId="0" applyNumberFormat="1" applyFont="1" applyFill="1" applyBorder="1" applyAlignment="1">
      <alignment horizontal="center" vertical="center" wrapText="1"/>
    </xf>
    <xf numFmtId="0" fontId="86" fillId="29" borderId="79" xfId="0" applyFont="1" applyFill="1" applyBorder="1" applyAlignment="1">
      <alignment horizontal="left" vertical="center" wrapText="1"/>
    </xf>
    <xf numFmtId="0" fontId="86" fillId="27" borderId="68" xfId="0" applyFont="1" applyFill="1" applyBorder="1" applyAlignment="1">
      <alignment wrapText="1"/>
    </xf>
    <xf numFmtId="0" fontId="86" fillId="27" borderId="69" xfId="0" applyFont="1" applyFill="1" applyBorder="1" applyAlignment="1">
      <alignment wrapText="1"/>
    </xf>
    <xf numFmtId="0" fontId="73" fillId="29" borderId="66" xfId="0" applyFont="1" applyFill="1" applyBorder="1" applyAlignment="1">
      <alignment horizontal="center" vertical="center" wrapText="1"/>
    </xf>
    <xf numFmtId="0" fontId="86" fillId="29" borderId="67" xfId="0" applyFont="1" applyFill="1" applyBorder="1" applyAlignment="1">
      <alignment wrapText="1"/>
    </xf>
    <xf numFmtId="0" fontId="86" fillId="29" borderId="68" xfId="0" applyFont="1" applyFill="1" applyBorder="1" applyAlignment="1">
      <alignment wrapText="1"/>
    </xf>
    <xf numFmtId="0" fontId="95" fillId="29" borderId="68" xfId="0" applyFont="1" applyFill="1" applyBorder="1" applyAlignment="1">
      <alignment horizontal="left" vertical="center" wrapText="1"/>
    </xf>
    <xf numFmtId="0" fontId="86" fillId="29" borderId="66" xfId="0" applyFont="1" applyFill="1" applyBorder="1" applyAlignment="1">
      <alignment wrapText="1"/>
    </xf>
    <xf numFmtId="0" fontId="95" fillId="0" borderId="69" xfId="0" applyFont="1" applyFill="1" applyBorder="1" applyAlignment="1">
      <alignment horizontal="left" vertical="center" wrapText="1"/>
    </xf>
    <xf numFmtId="0" fontId="95" fillId="29" borderId="69" xfId="0" applyFont="1" applyFill="1" applyBorder="1" applyAlignment="1">
      <alignment horizontal="left" vertical="center" wrapText="1"/>
    </xf>
    <xf numFmtId="0" fontId="86" fillId="29" borderId="71" xfId="0" applyFont="1" applyFill="1" applyBorder="1" applyAlignment="1">
      <alignment wrapText="1"/>
    </xf>
    <xf numFmtId="0" fontId="86" fillId="29" borderId="72" xfId="0" applyFont="1" applyFill="1" applyBorder="1" applyAlignment="1">
      <alignment wrapText="1"/>
    </xf>
    <xf numFmtId="0" fontId="86" fillId="0" borderId="72" xfId="0" applyFont="1" applyFill="1" applyBorder="1" applyAlignment="1">
      <alignment wrapText="1"/>
    </xf>
    <xf numFmtId="0" fontId="95" fillId="0" borderId="72" xfId="0" applyFont="1" applyFill="1" applyBorder="1" applyAlignment="1">
      <alignment horizontal="left" vertical="center" wrapText="1"/>
    </xf>
    <xf numFmtId="0" fontId="95" fillId="29" borderId="72" xfId="0" applyFont="1" applyFill="1" applyBorder="1" applyAlignment="1">
      <alignment horizontal="left" vertical="center" wrapText="1"/>
    </xf>
    <xf numFmtId="0" fontId="107" fillId="29" borderId="72" xfId="150" applyFont="1" applyFill="1" applyBorder="1" applyAlignment="1">
      <alignment vertical="center" wrapText="1"/>
    </xf>
    <xf numFmtId="0" fontId="86" fillId="29" borderId="75" xfId="0" applyFont="1" applyFill="1" applyBorder="1" applyAlignment="1">
      <alignment wrapText="1"/>
    </xf>
    <xf numFmtId="0" fontId="91" fillId="30" borderId="38" xfId="150" quotePrefix="1" applyFont="1" applyFill="1" applyBorder="1" applyAlignment="1">
      <alignment horizontal="center" vertical="center" wrapText="1"/>
    </xf>
    <xf numFmtId="0" fontId="105" fillId="0" borderId="12" xfId="150" applyFont="1" applyFill="1" applyBorder="1" applyAlignment="1">
      <alignment horizontal="left" vertical="center" wrapText="1"/>
    </xf>
    <xf numFmtId="0" fontId="67" fillId="30" borderId="33" xfId="180" applyFont="1" applyFill="1" applyBorder="1"/>
    <xf numFmtId="0" fontId="67" fillId="30" borderId="16" xfId="180" applyFont="1" applyFill="1" applyBorder="1"/>
    <xf numFmtId="0" fontId="67" fillId="30" borderId="53" xfId="180" applyFont="1" applyFill="1" applyBorder="1" applyAlignment="1">
      <alignment horizontal="center" vertical="center" wrapText="1"/>
    </xf>
    <xf numFmtId="0" fontId="67" fillId="30" borderId="27" xfId="180" applyFont="1" applyFill="1" applyBorder="1" applyAlignment="1">
      <alignment horizontal="center" vertical="center" wrapText="1"/>
    </xf>
    <xf numFmtId="0" fontId="67" fillId="30" borderId="14" xfId="180" applyFont="1" applyFill="1" applyBorder="1" applyAlignment="1">
      <alignment horizontal="center" vertical="center" wrapText="1"/>
    </xf>
    <xf numFmtId="0" fontId="83" fillId="27" borderId="7" xfId="180" applyFont="1" applyFill="1" applyBorder="1" applyAlignment="1">
      <alignment vertical="center"/>
    </xf>
    <xf numFmtId="0" fontId="67" fillId="27" borderId="36" xfId="180" applyFont="1" applyFill="1" applyBorder="1" applyAlignment="1">
      <alignment vertical="center"/>
    </xf>
    <xf numFmtId="0" fontId="67" fillId="27" borderId="67" xfId="180" applyFont="1" applyFill="1" applyBorder="1" applyAlignment="1">
      <alignment vertical="center"/>
    </xf>
    <xf numFmtId="0" fontId="67" fillId="27" borderId="68" xfId="180" applyFont="1" applyFill="1" applyBorder="1" applyAlignment="1">
      <alignment vertical="center"/>
    </xf>
    <xf numFmtId="0" fontId="8" fillId="27" borderId="68" xfId="180" applyFont="1" applyFill="1" applyBorder="1" applyAlignment="1">
      <alignment horizontal="center" vertical="center"/>
    </xf>
    <xf numFmtId="0" fontId="67" fillId="27" borderId="66" xfId="180" applyFont="1" applyFill="1" applyBorder="1" applyAlignment="1">
      <alignment vertical="center"/>
    </xf>
    <xf numFmtId="0" fontId="67" fillId="27" borderId="69" xfId="180" applyFont="1" applyFill="1" applyBorder="1" applyAlignment="1">
      <alignment vertical="center"/>
    </xf>
    <xf numFmtId="0" fontId="67" fillId="27" borderId="69" xfId="180" applyFont="1" applyFill="1" applyBorder="1" applyAlignment="1">
      <alignment horizontal="center" vertical="center"/>
    </xf>
    <xf numFmtId="0" fontId="67" fillId="27" borderId="78" xfId="180" applyFont="1" applyFill="1" applyBorder="1" applyAlignment="1">
      <alignment vertical="center"/>
    </xf>
    <xf numFmtId="0" fontId="67" fillId="27" borderId="70" xfId="180" applyFont="1" applyFill="1" applyBorder="1" applyAlignment="1">
      <alignment vertical="center"/>
    </xf>
    <xf numFmtId="0" fontId="67" fillId="27" borderId="70" xfId="180" applyFont="1" applyFill="1" applyBorder="1" applyAlignment="1">
      <alignment horizontal="center" vertical="center"/>
    </xf>
    <xf numFmtId="0" fontId="67" fillId="30" borderId="51" xfId="180" applyFont="1" applyFill="1" applyBorder="1"/>
    <xf numFmtId="0" fontId="67" fillId="30" borderId="43" xfId="180" applyFont="1" applyFill="1" applyBorder="1"/>
    <xf numFmtId="0" fontId="67" fillId="30" borderId="44" xfId="180" applyFont="1" applyFill="1" applyBorder="1"/>
    <xf numFmtId="0" fontId="83" fillId="30" borderId="40" xfId="180" applyFont="1" applyFill="1" applyBorder="1" applyAlignment="1">
      <alignment horizontal="center" vertical="center" wrapText="1"/>
    </xf>
    <xf numFmtId="0" fontId="83" fillId="30" borderId="45" xfId="180" applyFont="1" applyFill="1" applyBorder="1" applyAlignment="1">
      <alignment horizontal="center" vertical="center" wrapText="1"/>
    </xf>
    <xf numFmtId="0" fontId="83" fillId="30" borderId="47" xfId="180" applyFont="1" applyFill="1" applyBorder="1" applyAlignment="1">
      <alignment horizontal="center" vertical="center" wrapText="1"/>
    </xf>
    <xf numFmtId="0" fontId="67" fillId="30" borderId="58" xfId="180" applyFont="1" applyFill="1" applyBorder="1"/>
    <xf numFmtId="0" fontId="67" fillId="30" borderId="62" xfId="180" quotePrefix="1" applyFont="1" applyFill="1" applyBorder="1" applyAlignment="1">
      <alignment horizontal="center" vertical="center" wrapText="1"/>
    </xf>
    <xf numFmtId="0" fontId="67" fillId="30" borderId="37" xfId="180" quotePrefix="1" applyFont="1" applyFill="1" applyBorder="1" applyAlignment="1">
      <alignment horizontal="center" vertical="center"/>
    </xf>
    <xf numFmtId="0" fontId="8" fillId="0" borderId="73" xfId="180" applyFont="1" applyFill="1" applyBorder="1" applyAlignment="1">
      <alignment horizontal="center" vertical="center"/>
    </xf>
    <xf numFmtId="0" fontId="67" fillId="29" borderId="74" xfId="180" applyFont="1" applyFill="1" applyBorder="1" applyAlignment="1">
      <alignment horizontal="center" vertical="center"/>
    </xf>
    <xf numFmtId="0" fontId="67" fillId="29" borderId="79" xfId="180" applyFont="1" applyFill="1" applyBorder="1" applyAlignment="1">
      <alignment horizontal="center" vertical="center"/>
    </xf>
    <xf numFmtId="0" fontId="67" fillId="30" borderId="38" xfId="180" quotePrefix="1" applyFont="1" applyFill="1" applyBorder="1" applyAlignment="1">
      <alignment horizontal="center" vertical="center"/>
    </xf>
    <xf numFmtId="0" fontId="67" fillId="27" borderId="60" xfId="180" applyFont="1" applyFill="1" applyBorder="1" applyAlignment="1">
      <alignment vertical="center"/>
    </xf>
    <xf numFmtId="0" fontId="67" fillId="27" borderId="61" xfId="180" applyFont="1" applyFill="1" applyBorder="1" applyAlignment="1">
      <alignment vertical="center"/>
    </xf>
    <xf numFmtId="0" fontId="67" fillId="27" borderId="24" xfId="180" applyFont="1" applyFill="1" applyBorder="1" applyAlignment="1">
      <alignment vertical="center"/>
    </xf>
    <xf numFmtId="0" fontId="67" fillId="27" borderId="71" xfId="180" applyFont="1" applyFill="1" applyBorder="1" applyAlignment="1">
      <alignment vertical="center"/>
    </xf>
    <xf numFmtId="0" fontId="67" fillId="27" borderId="72" xfId="180" applyFont="1" applyFill="1" applyBorder="1" applyAlignment="1">
      <alignment vertical="center"/>
    </xf>
    <xf numFmtId="0" fontId="67" fillId="27" borderId="72" xfId="180" applyFont="1" applyFill="1" applyBorder="1" applyAlignment="1">
      <alignment horizontal="center" vertical="center"/>
    </xf>
    <xf numFmtId="0" fontId="67" fillId="29" borderId="75" xfId="180" applyFont="1" applyFill="1" applyBorder="1" applyAlignment="1">
      <alignment horizontal="center" vertical="center"/>
    </xf>
    <xf numFmtId="0" fontId="6" fillId="0" borderId="0" xfId="179" applyFont="1"/>
    <xf numFmtId="0" fontId="61" fillId="22" borderId="15" xfId="174" applyFont="1" applyFill="1" applyBorder="1" applyAlignment="1">
      <alignment horizontal="center" vertical="center" wrapText="1"/>
    </xf>
    <xf numFmtId="0" fontId="61" fillId="22" borderId="15" xfId="174" applyFont="1" applyFill="1" applyBorder="1" applyAlignment="1">
      <alignment wrapText="1"/>
    </xf>
    <xf numFmtId="0" fontId="61" fillId="22" borderId="15" xfId="174" applyFont="1" applyFill="1" applyBorder="1" applyAlignment="1">
      <alignment vertical="center" wrapText="1"/>
    </xf>
    <xf numFmtId="0" fontId="61" fillId="22" borderId="16" xfId="174" quotePrefix="1" applyFont="1" applyFill="1" applyBorder="1" applyAlignment="1">
      <alignment horizontal="center" vertical="center" wrapText="1"/>
    </xf>
    <xf numFmtId="0" fontId="57" fillId="0" borderId="15" xfId="174" applyFont="1" applyFill="1" applyBorder="1" applyAlignment="1">
      <alignment horizontal="left" vertical="center" wrapText="1"/>
    </xf>
    <xf numFmtId="0" fontId="57" fillId="0" borderId="14" xfId="174" applyFont="1" applyFill="1" applyBorder="1" applyAlignment="1">
      <alignment horizontal="left" vertical="center" wrapText="1"/>
    </xf>
    <xf numFmtId="9" fontId="61" fillId="0" borderId="15" xfId="174" applyNumberFormat="1" applyFont="1" applyBorder="1" applyAlignment="1">
      <alignment horizontal="right" vertical="center" wrapText="1" indent="3"/>
    </xf>
    <xf numFmtId="9" fontId="61" fillId="0" borderId="16" xfId="174" applyNumberFormat="1" applyFont="1" applyBorder="1" applyAlignment="1">
      <alignment horizontal="right" vertical="center" wrapText="1" indent="3"/>
    </xf>
    <xf numFmtId="0" fontId="61" fillId="30" borderId="36" xfId="174" quotePrefix="1" applyFont="1" applyFill="1" applyBorder="1" applyAlignment="1">
      <alignment horizontal="center" vertical="center" wrapText="1"/>
    </xf>
    <xf numFmtId="0" fontId="61" fillId="30" borderId="7" xfId="174" quotePrefix="1" applyFont="1" applyFill="1" applyBorder="1" applyAlignment="1">
      <alignment horizontal="center" vertical="center" wrapText="1"/>
    </xf>
    <xf numFmtId="0" fontId="61" fillId="30" borderId="13" xfId="174" quotePrefix="1" applyFont="1" applyFill="1" applyBorder="1" applyAlignment="1">
      <alignment horizontal="center" vertical="center" wrapText="1"/>
    </xf>
    <xf numFmtId="0" fontId="57" fillId="30" borderId="8" xfId="179" applyFont="1" applyFill="1" applyBorder="1" applyAlignment="1">
      <alignment horizontal="centerContinuous" vertical="center" wrapText="1"/>
    </xf>
    <xf numFmtId="0" fontId="82" fillId="30" borderId="23" xfId="179" applyFont="1" applyFill="1" applyBorder="1" applyAlignment="1">
      <alignment horizontal="centerContinuous" vertical="center"/>
    </xf>
    <xf numFmtId="0" fontId="57" fillId="30" borderId="7" xfId="174" applyFont="1" applyFill="1" applyBorder="1" applyAlignment="1">
      <alignment horizontal="center" vertical="center" wrapText="1"/>
    </xf>
    <xf numFmtId="0" fontId="57" fillId="30" borderId="55" xfId="179" applyFont="1" applyFill="1" applyBorder="1" applyAlignment="1">
      <alignment horizontal="centerContinuous" vertical="center" wrapText="1"/>
    </xf>
    <xf numFmtId="4" fontId="61" fillId="28" borderId="67" xfId="174" quotePrefix="1" applyNumberFormat="1" applyFont="1" applyFill="1" applyBorder="1" applyAlignment="1">
      <alignment horizontal="center" vertical="center" wrapText="1"/>
    </xf>
    <xf numFmtId="4" fontId="61" fillId="28" borderId="68" xfId="174" quotePrefix="1" applyNumberFormat="1" applyFont="1" applyFill="1" applyBorder="1" applyAlignment="1">
      <alignment horizontal="center" vertical="center" wrapText="1"/>
    </xf>
    <xf numFmtId="4" fontId="61" fillId="0" borderId="68" xfId="174" applyNumberFormat="1" applyFont="1" applyFill="1" applyBorder="1" applyAlignment="1">
      <alignment horizontal="center" vertical="center" wrapText="1"/>
    </xf>
    <xf numFmtId="4" fontId="61" fillId="0" borderId="66" xfId="174" quotePrefix="1" applyNumberFormat="1" applyFont="1" applyFill="1" applyBorder="1" applyAlignment="1">
      <alignment horizontal="center" vertical="center" wrapText="1"/>
    </xf>
    <xf numFmtId="4" fontId="61" fillId="0" borderId="69" xfId="174" quotePrefix="1" applyNumberFormat="1" applyFont="1" applyFill="1" applyBorder="1" applyAlignment="1">
      <alignment horizontal="center" vertical="center" wrapText="1"/>
    </xf>
    <xf numFmtId="4" fontId="61" fillId="28" borderId="78" xfId="174" applyNumberFormat="1" applyFont="1" applyFill="1" applyBorder="1" applyAlignment="1">
      <alignment vertical="center" wrapText="1"/>
    </xf>
    <xf numFmtId="4" fontId="61" fillId="0" borderId="70" xfId="174" applyNumberFormat="1" applyFont="1" applyFill="1" applyBorder="1" applyAlignment="1">
      <alignment horizontal="center" vertical="center" wrapText="1"/>
    </xf>
    <xf numFmtId="4" fontId="61" fillId="28" borderId="70" xfId="174" applyNumberFormat="1" applyFont="1" applyFill="1" applyBorder="1" applyAlignment="1">
      <alignment horizontal="center" vertical="center" wrapText="1"/>
    </xf>
    <xf numFmtId="0" fontId="61" fillId="28" borderId="67" xfId="174" applyFont="1" applyFill="1" applyBorder="1" applyAlignment="1">
      <alignment vertical="center" wrapText="1"/>
    </xf>
    <xf numFmtId="4" fontId="61" fillId="28" borderId="68" xfId="174" applyNumberFormat="1" applyFont="1" applyFill="1" applyBorder="1" applyAlignment="1">
      <alignment horizontal="center" vertical="center" wrapText="1"/>
    </xf>
    <xf numFmtId="0" fontId="61" fillId="28" borderId="66" xfId="174" applyFont="1" applyFill="1" applyBorder="1" applyAlignment="1">
      <alignment vertical="center" wrapText="1"/>
    </xf>
    <xf numFmtId="4" fontId="61" fillId="0" borderId="69" xfId="174" applyNumberFormat="1" applyFont="1" applyFill="1" applyBorder="1" applyAlignment="1">
      <alignment horizontal="center" vertical="center" wrapText="1"/>
    </xf>
    <xf numFmtId="4" fontId="61" fillId="28" borderId="69" xfId="174" applyNumberFormat="1" applyFont="1" applyFill="1" applyBorder="1" applyAlignment="1">
      <alignment horizontal="center" vertical="center" wrapText="1"/>
    </xf>
    <xf numFmtId="4" fontId="61" fillId="0" borderId="69" xfId="174" applyNumberFormat="1" applyFont="1" applyFill="1" applyBorder="1" applyAlignment="1">
      <alignment vertical="center" wrapText="1"/>
    </xf>
    <xf numFmtId="4" fontId="61" fillId="28" borderId="69" xfId="174" applyNumberFormat="1" applyFont="1" applyFill="1" applyBorder="1" applyAlignment="1">
      <alignment vertical="center" wrapText="1"/>
    </xf>
    <xf numFmtId="4" fontId="61" fillId="0" borderId="69" xfId="174" applyNumberFormat="1" applyFont="1" applyBorder="1" applyAlignment="1">
      <alignment horizontal="center" wrapText="1"/>
    </xf>
    <xf numFmtId="0" fontId="6" fillId="0" borderId="0" xfId="179" applyFont="1" applyBorder="1"/>
    <xf numFmtId="0" fontId="56" fillId="0" borderId="0" xfId="174" applyFont="1" applyFill="1" applyBorder="1" applyAlignment="1">
      <alignment wrapText="1"/>
    </xf>
    <xf numFmtId="0" fontId="68" fillId="0" borderId="0" xfId="174" applyFont="1" applyBorder="1" applyAlignment="1">
      <alignment horizontal="center" vertical="center" wrapText="1"/>
    </xf>
    <xf numFmtId="0" fontId="61" fillId="0" borderId="0" xfId="174" applyFont="1" applyBorder="1" applyAlignment="1">
      <alignment horizontal="left"/>
    </xf>
    <xf numFmtId="0" fontId="106" fillId="22" borderId="51" xfId="179" applyFont="1" applyFill="1" applyBorder="1" applyAlignment="1">
      <alignment vertical="center"/>
    </xf>
    <xf numFmtId="0" fontId="61" fillId="22" borderId="44" xfId="174" applyFont="1" applyFill="1" applyBorder="1" applyAlignment="1">
      <alignment wrapText="1"/>
    </xf>
    <xf numFmtId="0" fontId="57" fillId="30" borderId="39" xfId="174" applyFont="1" applyFill="1" applyBorder="1" applyAlignment="1">
      <alignment horizontal="center" vertical="center" wrapText="1"/>
    </xf>
    <xf numFmtId="0" fontId="106" fillId="22" borderId="52" xfId="179" applyFont="1" applyFill="1" applyBorder="1" applyAlignment="1">
      <alignment vertical="center"/>
    </xf>
    <xf numFmtId="0" fontId="106" fillId="22" borderId="58" xfId="179" applyFont="1" applyFill="1" applyBorder="1" applyAlignment="1">
      <alignment vertical="center"/>
    </xf>
    <xf numFmtId="0" fontId="61" fillId="30" borderId="41" xfId="174" quotePrefix="1" applyFont="1" applyFill="1" applyBorder="1" applyAlignment="1">
      <alignment horizontal="center" vertical="center" wrapText="1"/>
    </xf>
    <xf numFmtId="0" fontId="106" fillId="30" borderId="42" xfId="179" quotePrefix="1" applyFont="1" applyFill="1" applyBorder="1" applyAlignment="1">
      <alignment horizontal="center" vertical="center"/>
    </xf>
    <xf numFmtId="4" fontId="61" fillId="28" borderId="73" xfId="174" quotePrefix="1" applyNumberFormat="1" applyFont="1" applyFill="1" applyBorder="1" applyAlignment="1">
      <alignment horizontal="center" vertical="center" wrapText="1"/>
    </xf>
    <xf numFmtId="0" fontId="106" fillId="30" borderId="37" xfId="179" quotePrefix="1" applyFont="1" applyFill="1" applyBorder="1" applyAlignment="1">
      <alignment horizontal="center" vertical="center"/>
    </xf>
    <xf numFmtId="4" fontId="61" fillId="0" borderId="74" xfId="174" quotePrefix="1" applyNumberFormat="1" applyFont="1" applyFill="1" applyBorder="1" applyAlignment="1">
      <alignment horizontal="center" vertical="center" wrapText="1"/>
    </xf>
    <xf numFmtId="4" fontId="61" fillId="0" borderId="79" xfId="174" applyNumberFormat="1" applyFont="1" applyBorder="1" applyAlignment="1">
      <alignment horizontal="center" vertical="center" wrapText="1"/>
    </xf>
    <xf numFmtId="4" fontId="61" fillId="0" borderId="73" xfId="174" applyNumberFormat="1" applyFont="1" applyFill="1" applyBorder="1" applyAlignment="1">
      <alignment horizontal="center" vertical="center" wrapText="1"/>
    </xf>
    <xf numFmtId="4" fontId="61" fillId="0" borderId="74" xfId="174" applyNumberFormat="1" applyFont="1" applyFill="1" applyBorder="1" applyAlignment="1">
      <alignment horizontal="center" vertical="center" wrapText="1"/>
    </xf>
    <xf numFmtId="4" fontId="57" fillId="28" borderId="74" xfId="174" applyNumberFormat="1" applyFont="1" applyFill="1" applyBorder="1" applyAlignment="1">
      <alignment horizontal="center" vertical="center" wrapText="1"/>
    </xf>
    <xf numFmtId="0" fontId="106" fillId="30" borderId="38" xfId="179" quotePrefix="1" applyFont="1" applyFill="1" applyBorder="1" applyAlignment="1">
      <alignment horizontal="center" vertical="center"/>
    </xf>
    <xf numFmtId="0" fontId="57" fillId="0" borderId="12" xfId="174" applyFont="1" applyFill="1" applyBorder="1" applyAlignment="1">
      <alignment horizontal="left" vertical="center" wrapText="1"/>
    </xf>
    <xf numFmtId="0" fontId="61" fillId="28" borderId="71" xfId="174" applyFont="1" applyFill="1" applyBorder="1" applyAlignment="1">
      <alignment vertical="center" wrapText="1"/>
    </xf>
    <xf numFmtId="0" fontId="61" fillId="28" borderId="72" xfId="174" applyFont="1" applyFill="1" applyBorder="1" applyAlignment="1">
      <alignment vertical="center" wrapText="1"/>
    </xf>
    <xf numFmtId="4" fontId="61" fillId="28" borderId="72" xfId="174" applyNumberFormat="1" applyFont="1" applyFill="1" applyBorder="1" applyAlignment="1">
      <alignment vertical="center" wrapText="1"/>
    </xf>
    <xf numFmtId="4" fontId="61" fillId="27" borderId="72" xfId="174" applyNumberFormat="1" applyFont="1" applyFill="1" applyBorder="1" applyAlignment="1">
      <alignment horizontal="center" wrapText="1"/>
    </xf>
    <xf numFmtId="4" fontId="57" fillId="28" borderId="75" xfId="174" applyNumberFormat="1" applyFont="1" applyFill="1" applyBorder="1" applyAlignment="1">
      <alignment horizontal="center" vertical="center" wrapText="1"/>
    </xf>
    <xf numFmtId="0" fontId="78" fillId="0" borderId="0" xfId="0" applyFont="1" applyAlignment="1">
      <alignment horizontal="right"/>
    </xf>
    <xf numFmtId="0" fontId="53" fillId="30" borderId="7" xfId="0" applyFont="1" applyFill="1" applyBorder="1" applyAlignment="1">
      <alignment horizontal="center" vertical="center" wrapText="1"/>
    </xf>
    <xf numFmtId="49" fontId="53" fillId="30" borderId="7" xfId="0" applyNumberFormat="1" applyFont="1" applyFill="1" applyBorder="1" applyAlignment="1">
      <alignment horizontal="center" vertical="center" wrapText="1"/>
    </xf>
    <xf numFmtId="0" fontId="53" fillId="30" borderId="27" xfId="0" quotePrefix="1" applyFont="1" applyFill="1" applyBorder="1" applyAlignment="1">
      <alignment horizontal="center" vertical="center" wrapText="1"/>
    </xf>
    <xf numFmtId="0" fontId="113" fillId="0" borderId="7" xfId="151" applyFont="1" applyFill="1" applyBorder="1" applyAlignment="1">
      <alignment horizontal="left" vertical="center" wrapText="1"/>
    </xf>
    <xf numFmtId="0" fontId="53" fillId="27" borderId="67" xfId="0" applyFont="1" applyFill="1" applyBorder="1"/>
    <xf numFmtId="0" fontId="53" fillId="27" borderId="68" xfId="0" applyFont="1" applyFill="1" applyBorder="1"/>
    <xf numFmtId="0" fontId="53" fillId="31" borderId="68" xfId="0" applyFont="1" applyFill="1" applyBorder="1"/>
    <xf numFmtId="0" fontId="53" fillId="0" borderId="68" xfId="0" applyFont="1" applyFill="1" applyBorder="1"/>
    <xf numFmtId="0" fontId="53" fillId="27" borderId="66" xfId="0" applyFont="1" applyFill="1" applyBorder="1"/>
    <xf numFmtId="0" fontId="53" fillId="27" borderId="69" xfId="0" applyFont="1" applyFill="1" applyBorder="1"/>
    <xf numFmtId="0" fontId="53" fillId="0" borderId="69" xfId="0" applyFont="1" applyFill="1" applyBorder="1"/>
    <xf numFmtId="0" fontId="131" fillId="27" borderId="69" xfId="0" applyFont="1" applyFill="1" applyBorder="1"/>
    <xf numFmtId="0" fontId="131" fillId="0" borderId="69" xfId="0" applyFont="1" applyFill="1" applyBorder="1"/>
    <xf numFmtId="0" fontId="53" fillId="0" borderId="86" xfId="0" applyFont="1" applyFill="1" applyBorder="1"/>
    <xf numFmtId="0" fontId="53" fillId="0" borderId="66" xfId="0" applyFont="1" applyFill="1" applyBorder="1"/>
    <xf numFmtId="0" fontId="53" fillId="33" borderId="69" xfId="0" applyFont="1" applyFill="1" applyBorder="1"/>
    <xf numFmtId="0" fontId="53" fillId="27" borderId="78" xfId="0" applyFont="1" applyFill="1" applyBorder="1"/>
    <xf numFmtId="0" fontId="53" fillId="27" borderId="70" xfId="0" applyFont="1" applyFill="1" applyBorder="1"/>
    <xf numFmtId="0" fontId="53" fillId="0" borderId="70" xfId="0" applyFont="1" applyFill="1" applyBorder="1"/>
    <xf numFmtId="0" fontId="53" fillId="27" borderId="80" xfId="0" applyFont="1" applyFill="1" applyBorder="1"/>
    <xf numFmtId="0" fontId="53" fillId="27" borderId="76" xfId="0" applyFont="1" applyFill="1" applyBorder="1"/>
    <xf numFmtId="0" fontId="53" fillId="0" borderId="76" xfId="0" applyFont="1" applyFill="1" applyBorder="1"/>
    <xf numFmtId="0" fontId="53" fillId="0" borderId="87" xfId="0" applyFont="1" applyFill="1" applyBorder="1"/>
    <xf numFmtId="0" fontId="53" fillId="30" borderId="53" xfId="0" applyFont="1" applyFill="1" applyBorder="1"/>
    <xf numFmtId="0" fontId="53" fillId="30" borderId="14" xfId="0" applyFont="1" applyFill="1" applyBorder="1"/>
    <xf numFmtId="0" fontId="53" fillId="30" borderId="55" xfId="0" applyFont="1" applyFill="1" applyBorder="1"/>
    <xf numFmtId="0" fontId="53" fillId="30" borderId="16" xfId="0" applyFont="1" applyFill="1" applyBorder="1"/>
    <xf numFmtId="0" fontId="113" fillId="30" borderId="7" xfId="0" applyFont="1" applyFill="1" applyBorder="1" applyAlignment="1">
      <alignment horizontal="center" vertical="center" wrapText="1"/>
    </xf>
    <xf numFmtId="0" fontId="37" fillId="0" borderId="7" xfId="151" applyFont="1" applyFill="1" applyBorder="1" applyAlignment="1">
      <alignment horizontal="left" vertical="center" wrapText="1"/>
    </xf>
    <xf numFmtId="0" fontId="37" fillId="0" borderId="7" xfId="151" applyFont="1" applyFill="1" applyBorder="1" applyAlignment="1">
      <alignment horizontal="left" vertical="center" wrapText="1" indent="1"/>
    </xf>
    <xf numFmtId="49" fontId="53" fillId="30" borderId="27" xfId="0" applyNumberFormat="1" applyFont="1" applyFill="1" applyBorder="1" applyAlignment="1">
      <alignment horizontal="center" vertical="center" wrapText="1"/>
    </xf>
    <xf numFmtId="0" fontId="53" fillId="0" borderId="88" xfId="0" applyFont="1" applyFill="1" applyBorder="1"/>
    <xf numFmtId="0" fontId="53" fillId="27" borderId="88" xfId="0" applyFont="1" applyFill="1" applyBorder="1"/>
    <xf numFmtId="0" fontId="53" fillId="27" borderId="89" xfId="0" applyFont="1" applyFill="1" applyBorder="1"/>
    <xf numFmtId="0" fontId="8" fillId="0" borderId="0" xfId="166" applyFont="1"/>
    <xf numFmtId="0" fontId="8" fillId="0" borderId="0" xfId="166" applyFont="1" applyBorder="1" applyAlignment="1">
      <alignment horizontal="center" vertical="center" wrapText="1"/>
    </xf>
    <xf numFmtId="0" fontId="8" fillId="0" borderId="0" xfId="166" applyFont="1" applyBorder="1"/>
    <xf numFmtId="0" fontId="70" fillId="0" borderId="0" xfId="166" applyFont="1"/>
    <xf numFmtId="49" fontId="70" fillId="30" borderId="7" xfId="166" applyNumberFormat="1" applyFont="1" applyFill="1" applyBorder="1" applyAlignment="1">
      <alignment horizontal="center" vertical="center" wrapText="1"/>
    </xf>
    <xf numFmtId="0" fontId="70" fillId="30" borderId="7" xfId="166" quotePrefix="1" applyFont="1" applyFill="1" applyBorder="1" applyAlignment="1">
      <alignment horizontal="center" vertical="center" wrapText="1"/>
    </xf>
    <xf numFmtId="0" fontId="60" fillId="30" borderId="56" xfId="166" applyFont="1" applyFill="1" applyBorder="1" applyAlignment="1">
      <alignment horizontal="centerContinuous" vertical="center" wrapText="1"/>
    </xf>
    <xf numFmtId="0" fontId="60" fillId="30" borderId="46" xfId="166" applyFont="1" applyFill="1" applyBorder="1" applyAlignment="1">
      <alignment horizontal="centerContinuous" vertical="center"/>
    </xf>
    <xf numFmtId="0" fontId="60" fillId="30" borderId="44" xfId="166" applyFont="1" applyFill="1" applyBorder="1" applyAlignment="1">
      <alignment horizontal="center" vertical="center" wrapText="1"/>
    </xf>
    <xf numFmtId="0" fontId="60" fillId="30" borderId="40" xfId="166" applyFont="1" applyFill="1" applyBorder="1" applyAlignment="1">
      <alignment horizontal="center" vertical="center" wrapText="1"/>
    </xf>
    <xf numFmtId="0" fontId="60" fillId="30" borderId="55" xfId="166" applyFont="1" applyFill="1" applyBorder="1" applyAlignment="1">
      <alignment horizontal="centerContinuous" vertical="center" wrapText="1"/>
    </xf>
    <xf numFmtId="0" fontId="60" fillId="30" borderId="33" xfId="166" applyFont="1" applyFill="1" applyBorder="1" applyAlignment="1">
      <alignment horizontal="centerContinuous" vertical="center"/>
    </xf>
    <xf numFmtId="0" fontId="60" fillId="30" borderId="16" xfId="166" applyFont="1" applyFill="1" applyBorder="1" applyAlignment="1">
      <alignment horizontal="center" vertical="center" wrapText="1"/>
    </xf>
    <xf numFmtId="0" fontId="60" fillId="30" borderId="0" xfId="166" applyFont="1" applyFill="1" applyBorder="1" applyAlignment="1">
      <alignment horizontal="centerContinuous" vertical="center" wrapText="1"/>
    </xf>
    <xf numFmtId="0" fontId="61" fillId="0" borderId="90" xfId="166" applyFont="1" applyFill="1" applyBorder="1" applyAlignment="1">
      <alignment horizontal="center" vertical="center" wrapText="1"/>
    </xf>
    <xf numFmtId="0" fontId="70" fillId="0" borderId="68" xfId="166" applyFont="1" applyFill="1" applyBorder="1" applyAlignment="1">
      <alignment vertical="center" wrapText="1"/>
    </xf>
    <xf numFmtId="9" fontId="61" fillId="28" borderId="68" xfId="171" applyNumberFormat="1" applyFont="1" applyFill="1" applyBorder="1" applyAlignment="1">
      <alignment horizontal="center" vertical="center" wrapText="1"/>
    </xf>
    <xf numFmtId="0" fontId="70" fillId="28" borderId="68" xfId="166" applyFont="1" applyFill="1" applyBorder="1" applyAlignment="1">
      <alignment vertical="center" wrapText="1"/>
    </xf>
    <xf numFmtId="0" fontId="61" fillId="0" borderId="68" xfId="166" applyFont="1" applyFill="1" applyBorder="1" applyAlignment="1">
      <alignment horizontal="center" vertical="center" wrapText="1"/>
    </xf>
    <xf numFmtId="0" fontId="61" fillId="0" borderId="68" xfId="166" quotePrefix="1" applyFont="1" applyFill="1" applyBorder="1" applyAlignment="1">
      <alignment horizontal="center" vertical="center" wrapText="1"/>
    </xf>
    <xf numFmtId="0" fontId="67" fillId="0" borderId="68" xfId="166" applyFont="1" applyFill="1" applyBorder="1" applyAlignment="1">
      <alignment wrapText="1"/>
    </xf>
    <xf numFmtId="0" fontId="67" fillId="28" borderId="68" xfId="166" applyFont="1" applyFill="1" applyBorder="1" applyAlignment="1">
      <alignment wrapText="1"/>
    </xf>
    <xf numFmtId="0" fontId="61" fillId="0" borderId="91" xfId="166" applyFont="1" applyFill="1" applyBorder="1" applyAlignment="1">
      <alignment horizontal="center" vertical="center" wrapText="1"/>
    </xf>
    <xf numFmtId="0" fontId="70" fillId="0" borderId="69" xfId="166" applyFont="1" applyFill="1" applyBorder="1" applyAlignment="1">
      <alignment vertical="center" wrapText="1"/>
    </xf>
    <xf numFmtId="9" fontId="61" fillId="28" borderId="69" xfId="171" applyNumberFormat="1" applyFont="1" applyFill="1" applyBorder="1" applyAlignment="1">
      <alignment horizontal="center" vertical="center" wrapText="1"/>
    </xf>
    <xf numFmtId="0" fontId="61" fillId="28" borderId="69" xfId="166" applyFont="1" applyFill="1" applyBorder="1" applyAlignment="1">
      <alignment horizontal="center" vertical="center" wrapText="1"/>
    </xf>
    <xf numFmtId="0" fontId="61" fillId="0" borderId="69" xfId="166" applyFont="1" applyFill="1" applyBorder="1" applyAlignment="1">
      <alignment horizontal="center" vertical="center" wrapText="1"/>
    </xf>
    <xf numFmtId="0" fontId="61" fillId="0" borderId="69" xfId="166" quotePrefix="1" applyFont="1" applyFill="1" applyBorder="1" applyAlignment="1">
      <alignment horizontal="center" vertical="center" wrapText="1"/>
    </xf>
    <xf numFmtId="0" fontId="67" fillId="0" borderId="69" xfId="166" applyFont="1" applyFill="1" applyBorder="1" applyAlignment="1">
      <alignment wrapText="1"/>
    </xf>
    <xf numFmtId="0" fontId="67" fillId="28" borderId="69" xfId="166" applyFont="1" applyFill="1" applyBorder="1" applyAlignment="1">
      <alignment wrapText="1"/>
    </xf>
    <xf numFmtId="0" fontId="61" fillId="28" borderId="91" xfId="166" applyFont="1" applyFill="1" applyBorder="1" applyAlignment="1">
      <alignment horizontal="center" vertical="center" wrapText="1"/>
    </xf>
    <xf numFmtId="0" fontId="70" fillId="28" borderId="69" xfId="166" applyFont="1" applyFill="1" applyBorder="1" applyAlignment="1">
      <alignment vertical="center" wrapText="1"/>
    </xf>
    <xf numFmtId="0" fontId="61" fillId="28" borderId="69" xfId="166" quotePrefix="1" applyFont="1" applyFill="1" applyBorder="1" applyAlignment="1">
      <alignment horizontal="center" vertical="center" wrapText="1"/>
    </xf>
    <xf numFmtId="0" fontId="61" fillId="0" borderId="66" xfId="166" applyFont="1" applyFill="1" applyBorder="1" applyAlignment="1">
      <alignment horizontal="center" vertical="center" wrapText="1"/>
    </xf>
    <xf numFmtId="0" fontId="56" fillId="28" borderId="92" xfId="166" applyFont="1" applyFill="1" applyBorder="1" applyAlignment="1">
      <alignment horizontal="center" wrapText="1"/>
    </xf>
    <xf numFmtId="0" fontId="56" fillId="0" borderId="70" xfId="166" applyFont="1" applyFill="1" applyBorder="1" applyAlignment="1">
      <alignment horizontal="center" wrapText="1"/>
    </xf>
    <xf numFmtId="0" fontId="8" fillId="28" borderId="70" xfId="166" applyFont="1" applyFill="1" applyBorder="1" applyAlignment="1">
      <alignment horizontal="center" wrapText="1"/>
    </xf>
    <xf numFmtId="0" fontId="56" fillId="28" borderId="70" xfId="166" applyFont="1" applyFill="1" applyBorder="1"/>
    <xf numFmtId="0" fontId="56" fillId="28" borderId="70" xfId="166" applyFont="1" applyFill="1" applyBorder="1" applyAlignment="1">
      <alignment horizontal="center" wrapText="1"/>
    </xf>
    <xf numFmtId="0" fontId="56" fillId="0" borderId="70" xfId="166" applyFont="1" applyFill="1" applyBorder="1" applyAlignment="1">
      <alignment horizontal="center"/>
    </xf>
    <xf numFmtId="0" fontId="56" fillId="0" borderId="70" xfId="166" applyFont="1" applyFill="1" applyBorder="1"/>
    <xf numFmtId="0" fontId="56" fillId="0" borderId="70" xfId="166" applyFont="1" applyBorder="1"/>
    <xf numFmtId="0" fontId="56" fillId="28" borderId="67" xfId="166" applyFont="1" applyFill="1" applyBorder="1" applyAlignment="1">
      <alignment horizontal="center" wrapText="1"/>
    </xf>
    <xf numFmtId="0" fontId="56" fillId="0" borderId="68" xfId="166" applyFont="1" applyFill="1" applyBorder="1" applyAlignment="1">
      <alignment horizontal="center" wrapText="1"/>
    </xf>
    <xf numFmtId="0" fontId="56" fillId="28" borderId="68" xfId="166" applyFont="1" applyFill="1" applyBorder="1" applyAlignment="1">
      <alignment horizontal="center" wrapText="1"/>
    </xf>
    <xf numFmtId="0" fontId="56" fillId="28" borderId="68" xfId="166" applyFont="1" applyFill="1" applyBorder="1"/>
    <xf numFmtId="0" fontId="56" fillId="0" borderId="68" xfId="166" applyFont="1" applyFill="1" applyBorder="1" applyAlignment="1">
      <alignment horizontal="center"/>
    </xf>
    <xf numFmtId="0" fontId="56" fillId="0" borderId="68" xfId="166" applyFont="1" applyFill="1" applyBorder="1"/>
    <xf numFmtId="0" fontId="56" fillId="0" borderId="68" xfId="166" applyFont="1" applyBorder="1"/>
    <xf numFmtId="0" fontId="56" fillId="28" borderId="66" xfId="166" applyFont="1" applyFill="1" applyBorder="1" applyAlignment="1">
      <alignment horizontal="center" wrapText="1"/>
    </xf>
    <xf numFmtId="0" fontId="56" fillId="0" borderId="69" xfId="166" applyFont="1" applyFill="1" applyBorder="1" applyAlignment="1">
      <alignment horizontal="center" wrapText="1"/>
    </xf>
    <xf numFmtId="0" fontId="56" fillId="28" borderId="69" xfId="166" applyFont="1" applyFill="1" applyBorder="1" applyAlignment="1">
      <alignment horizontal="center" wrapText="1"/>
    </xf>
    <xf numFmtId="0" fontId="56" fillId="28" borderId="69" xfId="166" applyFont="1" applyFill="1" applyBorder="1"/>
    <xf numFmtId="0" fontId="56" fillId="0" borderId="69" xfId="166" applyFont="1" applyFill="1" applyBorder="1" applyAlignment="1">
      <alignment horizontal="center"/>
    </xf>
    <xf numFmtId="0" fontId="56" fillId="0" borderId="69" xfId="166" applyFont="1" applyFill="1" applyBorder="1"/>
    <xf numFmtId="0" fontId="56" fillId="0" borderId="69" xfId="166" applyFont="1" applyBorder="1"/>
    <xf numFmtId="0" fontId="56" fillId="28" borderId="66" xfId="166" applyFont="1" applyFill="1" applyBorder="1" applyAlignment="1">
      <alignment horizontal="center" vertical="center" wrapText="1"/>
    </xf>
    <xf numFmtId="0" fontId="56" fillId="0" borderId="69" xfId="166" applyFont="1" applyBorder="1" applyAlignment="1">
      <alignment horizontal="center" vertical="center" wrapText="1"/>
    </xf>
    <xf numFmtId="0" fontId="56" fillId="28" borderId="69" xfId="166" applyFont="1" applyFill="1" applyBorder="1" applyAlignment="1">
      <alignment horizontal="center" vertical="center" wrapText="1"/>
    </xf>
    <xf numFmtId="0" fontId="56" fillId="0" borderId="69" xfId="166" applyFont="1" applyFill="1" applyBorder="1" applyAlignment="1">
      <alignment horizontal="center" vertical="center" wrapText="1"/>
    </xf>
    <xf numFmtId="0" fontId="8" fillId="28" borderId="69" xfId="166" applyFont="1" applyFill="1" applyBorder="1"/>
    <xf numFmtId="0" fontId="8" fillId="28" borderId="66" xfId="166" applyFont="1" applyFill="1" applyBorder="1" applyAlignment="1">
      <alignment horizontal="center" vertical="center" wrapText="1"/>
    </xf>
    <xf numFmtId="0" fontId="8" fillId="0" borderId="69" xfId="166" applyFont="1" applyFill="1" applyBorder="1" applyAlignment="1">
      <alignment horizontal="center" vertical="center" wrapText="1"/>
    </xf>
    <xf numFmtId="0" fontId="8" fillId="28" borderId="69" xfId="166" applyFont="1" applyFill="1" applyBorder="1" applyAlignment="1">
      <alignment horizontal="center" vertical="center" wrapText="1"/>
    </xf>
    <xf numFmtId="0" fontId="8" fillId="0" borderId="69" xfId="166" applyFont="1" applyFill="1" applyBorder="1"/>
    <xf numFmtId="0" fontId="56" fillId="0" borderId="71" xfId="166" applyFont="1" applyFill="1" applyBorder="1" applyAlignment="1">
      <alignment horizontal="center" vertical="center" wrapText="1"/>
    </xf>
    <xf numFmtId="0" fontId="56" fillId="0" borderId="72" xfId="166" applyFont="1" applyFill="1" applyBorder="1" applyAlignment="1">
      <alignment horizontal="center" vertical="center" wrapText="1"/>
    </xf>
    <xf numFmtId="0" fontId="56" fillId="28" borderId="72" xfId="166" applyFont="1" applyFill="1" applyBorder="1" applyAlignment="1">
      <alignment horizontal="center" vertical="center" wrapText="1"/>
    </xf>
    <xf numFmtId="0" fontId="56" fillId="0" borderId="72" xfId="166" applyFont="1" applyFill="1" applyBorder="1"/>
    <xf numFmtId="0" fontId="56" fillId="28" borderId="72" xfId="166" applyFont="1" applyFill="1" applyBorder="1"/>
    <xf numFmtId="0" fontId="71" fillId="0" borderId="72" xfId="166" applyFont="1" applyFill="1" applyBorder="1" applyAlignment="1">
      <alignment horizontal="center" vertical="center" wrapText="1"/>
    </xf>
    <xf numFmtId="0" fontId="119" fillId="31" borderId="0" xfId="166" applyFont="1" applyFill="1" applyBorder="1" applyAlignment="1">
      <alignment horizontal="left" vertical="center" indent="1"/>
    </xf>
    <xf numFmtId="0" fontId="8" fillId="31" borderId="0" xfId="166" applyFont="1" applyFill="1"/>
    <xf numFmtId="0" fontId="8" fillId="31" borderId="0" xfId="166" applyFont="1" applyFill="1" applyBorder="1"/>
    <xf numFmtId="0" fontId="70" fillId="30" borderId="41" xfId="166" quotePrefix="1" applyFont="1" applyFill="1" applyBorder="1" applyAlignment="1">
      <alignment horizontal="center" vertical="center" wrapText="1"/>
    </xf>
    <xf numFmtId="0" fontId="73" fillId="30" borderId="37" xfId="166" quotePrefix="1" applyFont="1" applyFill="1" applyBorder="1" applyAlignment="1">
      <alignment horizontal="center" vertical="center"/>
    </xf>
    <xf numFmtId="0" fontId="8" fillId="30" borderId="37" xfId="166" applyFont="1" applyFill="1" applyBorder="1"/>
    <xf numFmtId="0" fontId="67" fillId="0" borderId="73" xfId="166" applyFont="1" applyFill="1" applyBorder="1" applyAlignment="1">
      <alignment wrapText="1"/>
    </xf>
    <xf numFmtId="0" fontId="67" fillId="0" borderId="74" xfId="166" applyFont="1" applyFill="1" applyBorder="1" applyAlignment="1">
      <alignment wrapText="1"/>
    </xf>
    <xf numFmtId="0" fontId="67" fillId="28" borderId="74" xfId="166" applyFont="1" applyFill="1" applyBorder="1" applyAlignment="1">
      <alignment wrapText="1"/>
    </xf>
    <xf numFmtId="0" fontId="73" fillId="30" borderId="37" xfId="171" quotePrefix="1" applyFont="1" applyFill="1" applyBorder="1" applyAlignment="1">
      <alignment horizontal="center" vertical="center" wrapText="1"/>
    </xf>
    <xf numFmtId="49" fontId="73" fillId="30" borderId="37" xfId="171" applyNumberFormat="1" applyFont="1" applyFill="1" applyBorder="1" applyAlignment="1">
      <alignment horizontal="center" vertical="center" wrapText="1"/>
    </xf>
    <xf numFmtId="49" fontId="73" fillId="30" borderId="37" xfId="166" applyNumberFormat="1" applyFont="1" applyFill="1" applyBorder="1" applyAlignment="1">
      <alignment horizontal="center" vertical="center"/>
    </xf>
    <xf numFmtId="0" fontId="56" fillId="28" borderId="79" xfId="166" applyFont="1" applyFill="1" applyBorder="1"/>
    <xf numFmtId="49" fontId="73" fillId="30" borderId="37" xfId="166" quotePrefix="1" applyNumberFormat="1" applyFont="1" applyFill="1" applyBorder="1" applyAlignment="1">
      <alignment horizontal="center" vertical="center"/>
    </xf>
    <xf numFmtId="0" fontId="56" fillId="28" borderId="73" xfId="166" applyFont="1" applyFill="1" applyBorder="1"/>
    <xf numFmtId="0" fontId="56" fillId="28" borderId="74" xfId="166" applyFont="1" applyFill="1" applyBorder="1"/>
    <xf numFmtId="0" fontId="8" fillId="28" borderId="74" xfId="166" applyFont="1" applyFill="1" applyBorder="1"/>
    <xf numFmtId="49" fontId="73" fillId="30" borderId="38" xfId="166" applyNumberFormat="1" applyFont="1" applyFill="1" applyBorder="1" applyAlignment="1">
      <alignment horizontal="center" vertical="center"/>
    </xf>
    <xf numFmtId="0" fontId="56" fillId="0" borderId="75" xfId="166" applyFont="1" applyFill="1" applyBorder="1"/>
    <xf numFmtId="49" fontId="70" fillId="30" borderId="41" xfId="166" applyNumberFormat="1" applyFont="1" applyFill="1" applyBorder="1" applyAlignment="1">
      <alignment horizontal="center" vertical="center" wrapText="1"/>
    </xf>
    <xf numFmtId="0" fontId="56" fillId="0" borderId="71" xfId="166" applyFont="1" applyBorder="1" applyAlignment="1">
      <alignment horizontal="center" wrapText="1"/>
    </xf>
    <xf numFmtId="0" fontId="56" fillId="0" borderId="72" xfId="166" applyFont="1" applyBorder="1" applyAlignment="1">
      <alignment horizontal="center" wrapText="1"/>
    </xf>
    <xf numFmtId="0" fontId="56" fillId="0" borderId="72" xfId="166" applyFont="1" applyFill="1" applyBorder="1" applyAlignment="1">
      <alignment horizontal="center" wrapText="1"/>
    </xf>
    <xf numFmtId="0" fontId="56" fillId="0" borderId="72" xfId="166" applyFont="1" applyFill="1" applyBorder="1" applyAlignment="1">
      <alignment horizontal="center"/>
    </xf>
    <xf numFmtId="0" fontId="56" fillId="0" borderId="72" xfId="166" applyFont="1" applyBorder="1"/>
    <xf numFmtId="0" fontId="5" fillId="0" borderId="0" xfId="171" applyFont="1" applyFill="1" applyBorder="1" applyAlignment="1">
      <alignment horizontal="right" vertical="center"/>
    </xf>
    <xf numFmtId="9" fontId="8" fillId="0" borderId="66" xfId="171" quotePrefix="1" applyNumberFormat="1" applyFont="1" applyFill="1" applyBorder="1" applyAlignment="1">
      <alignment horizontal="center" vertical="center" wrapText="1"/>
    </xf>
    <xf numFmtId="9" fontId="8" fillId="32" borderId="69" xfId="171" quotePrefix="1" applyNumberFormat="1" applyFont="1" applyFill="1" applyBorder="1" applyAlignment="1">
      <alignment horizontal="center" vertical="center" wrapText="1"/>
    </xf>
    <xf numFmtId="9" fontId="8" fillId="0" borderId="69" xfId="171" quotePrefix="1" applyNumberFormat="1" applyFont="1" applyFill="1" applyBorder="1" applyAlignment="1">
      <alignment vertical="center" wrapText="1"/>
    </xf>
    <xf numFmtId="9" fontId="8" fillId="0" borderId="69" xfId="171" quotePrefix="1" applyNumberFormat="1" applyFont="1" applyFill="1" applyBorder="1" applyAlignment="1">
      <alignment horizontal="center" vertical="center" wrapText="1"/>
    </xf>
    <xf numFmtId="0" fontId="8" fillId="0" borderId="69" xfId="171" applyFont="1" applyFill="1" applyBorder="1" applyAlignment="1">
      <alignment horizontal="center" vertical="center" wrapText="1"/>
    </xf>
    <xf numFmtId="0" fontId="8" fillId="31" borderId="69" xfId="171" applyFont="1" applyFill="1" applyBorder="1" applyAlignment="1">
      <alignment horizontal="center" vertical="center" wrapText="1"/>
    </xf>
    <xf numFmtId="0" fontId="8" fillId="29" borderId="69" xfId="171" applyFont="1" applyFill="1" applyBorder="1" applyAlignment="1">
      <alignment horizontal="center" vertical="center" wrapText="1"/>
    </xf>
    <xf numFmtId="0" fontId="8" fillId="29" borderId="74" xfId="171" applyFont="1" applyFill="1" applyBorder="1" applyAlignment="1">
      <alignment horizontal="center" vertical="center" wrapText="1"/>
    </xf>
    <xf numFmtId="9" fontId="8" fillId="31" borderId="66" xfId="171" quotePrefix="1" applyNumberFormat="1" applyFont="1" applyFill="1" applyBorder="1" applyAlignment="1">
      <alignment horizontal="center" vertical="center" wrapText="1"/>
    </xf>
    <xf numFmtId="9" fontId="8" fillId="31" borderId="69" xfId="171" quotePrefix="1" applyNumberFormat="1" applyFont="1" applyFill="1" applyBorder="1" applyAlignment="1">
      <alignment vertical="center" wrapText="1"/>
    </xf>
    <xf numFmtId="9" fontId="8" fillId="31" borderId="69" xfId="171" quotePrefix="1" applyNumberFormat="1" applyFont="1" applyFill="1" applyBorder="1" applyAlignment="1">
      <alignment horizontal="center" vertical="center" wrapText="1"/>
    </xf>
    <xf numFmtId="9" fontId="5" fillId="0" borderId="66" xfId="171" applyNumberFormat="1" applyFont="1" applyFill="1" applyBorder="1" applyAlignment="1">
      <alignment horizontal="left" vertical="center" wrapText="1"/>
    </xf>
    <xf numFmtId="9" fontId="5" fillId="0" borderId="78" xfId="171" applyNumberFormat="1" applyFont="1" applyFill="1" applyBorder="1" applyAlignment="1">
      <alignment horizontal="left" vertical="center" wrapText="1"/>
    </xf>
    <xf numFmtId="9" fontId="8" fillId="32" borderId="70" xfId="171" quotePrefix="1" applyNumberFormat="1" applyFont="1" applyFill="1" applyBorder="1" applyAlignment="1">
      <alignment horizontal="center" vertical="center" wrapText="1"/>
    </xf>
    <xf numFmtId="9" fontId="8" fillId="0" borderId="70" xfId="171" quotePrefix="1" applyNumberFormat="1" applyFont="1" applyFill="1" applyBorder="1" applyAlignment="1">
      <alignment vertical="center" wrapText="1"/>
    </xf>
    <xf numFmtId="9" fontId="8" fillId="0" borderId="70" xfId="171" quotePrefix="1" applyNumberFormat="1" applyFont="1" applyFill="1" applyBorder="1" applyAlignment="1">
      <alignment horizontal="center" vertical="center" wrapText="1"/>
    </xf>
    <xf numFmtId="0" fontId="8" fillId="0" borderId="70" xfId="171" applyFont="1" applyFill="1" applyBorder="1" applyAlignment="1">
      <alignment horizontal="center" vertical="center" wrapText="1"/>
    </xf>
    <xf numFmtId="0" fontId="8" fillId="31" borderId="70" xfId="171" applyFont="1" applyFill="1" applyBorder="1" applyAlignment="1">
      <alignment horizontal="center" vertical="center" wrapText="1"/>
    </xf>
    <xf numFmtId="0" fontId="8" fillId="29" borderId="70" xfId="171" applyFont="1" applyFill="1" applyBorder="1" applyAlignment="1">
      <alignment horizontal="center" vertical="center" wrapText="1"/>
    </xf>
    <xf numFmtId="0" fontId="8" fillId="29" borderId="79" xfId="171" applyFont="1" applyFill="1" applyBorder="1" applyAlignment="1">
      <alignment horizontal="center" vertical="center" wrapText="1"/>
    </xf>
    <xf numFmtId="9" fontId="8" fillId="27" borderId="67" xfId="171" quotePrefix="1" applyNumberFormat="1" applyFont="1" applyFill="1" applyBorder="1" applyAlignment="1">
      <alignment horizontal="center" vertical="center" wrapText="1"/>
    </xf>
    <xf numFmtId="0" fontId="8" fillId="0" borderId="68" xfId="171" applyFont="1" applyFill="1" applyBorder="1" applyAlignment="1">
      <alignment horizontal="left" vertical="center" wrapText="1"/>
    </xf>
    <xf numFmtId="9" fontId="8" fillId="27" borderId="68" xfId="171" quotePrefix="1" applyNumberFormat="1" applyFont="1" applyFill="1" applyBorder="1" applyAlignment="1">
      <alignment vertical="center" wrapText="1"/>
    </xf>
    <xf numFmtId="0" fontId="8" fillId="27" borderId="68" xfId="171" applyFont="1" applyFill="1" applyBorder="1" applyAlignment="1">
      <alignment horizontal="left" vertical="center" wrapText="1"/>
    </xf>
    <xf numFmtId="9" fontId="8" fillId="27" borderId="68" xfId="171" quotePrefix="1" applyNumberFormat="1" applyFont="1" applyFill="1" applyBorder="1" applyAlignment="1">
      <alignment horizontal="center" vertical="center" wrapText="1"/>
    </xf>
    <xf numFmtId="0" fontId="8" fillId="29" borderId="68" xfId="171" applyFont="1" applyFill="1" applyBorder="1" applyAlignment="1">
      <alignment horizontal="left" vertical="center" wrapText="1"/>
    </xf>
    <xf numFmtId="9" fontId="8" fillId="0" borderId="68" xfId="171" quotePrefix="1" applyNumberFormat="1" applyFont="1" applyFill="1" applyBorder="1" applyAlignment="1">
      <alignment horizontal="center" vertical="center" wrapText="1"/>
    </xf>
    <xf numFmtId="9" fontId="8" fillId="31" borderId="68" xfId="171" quotePrefix="1" applyNumberFormat="1" applyFont="1" applyFill="1" applyBorder="1" applyAlignment="1">
      <alignment horizontal="center" vertical="center" wrapText="1"/>
    </xf>
    <xf numFmtId="9" fontId="8" fillId="27" borderId="68" xfId="171" applyNumberFormat="1" applyFont="1" applyFill="1" applyBorder="1" applyAlignment="1">
      <alignment horizontal="center" vertical="center" wrapText="1"/>
    </xf>
    <xf numFmtId="9" fontId="8" fillId="29" borderId="68" xfId="171" quotePrefix="1" applyNumberFormat="1" applyFont="1" applyFill="1" applyBorder="1" applyAlignment="1">
      <alignment horizontal="center" vertical="center" wrapText="1"/>
    </xf>
    <xf numFmtId="9" fontId="8" fillId="29" borderId="73" xfId="171" quotePrefix="1" applyNumberFormat="1" applyFont="1" applyFill="1" applyBorder="1" applyAlignment="1">
      <alignment horizontal="center" vertical="center" wrapText="1"/>
    </xf>
    <xf numFmtId="0" fontId="8" fillId="0" borderId="69" xfId="171" applyFont="1" applyFill="1" applyBorder="1" applyAlignment="1">
      <alignment horizontal="left" vertical="center" wrapText="1"/>
    </xf>
    <xf numFmtId="0" fontId="8" fillId="31" borderId="69" xfId="171" applyFont="1" applyFill="1" applyBorder="1" applyAlignment="1">
      <alignment horizontal="left" vertical="center" wrapText="1"/>
    </xf>
    <xf numFmtId="9" fontId="8" fillId="0" borderId="69" xfId="171" applyNumberFormat="1" applyFont="1" applyFill="1" applyBorder="1" applyAlignment="1">
      <alignment horizontal="center" vertical="center" wrapText="1"/>
    </xf>
    <xf numFmtId="9" fontId="8" fillId="31" borderId="69" xfId="171" applyNumberFormat="1" applyFont="1" applyFill="1" applyBorder="1" applyAlignment="1">
      <alignment horizontal="center" vertical="center" wrapText="1"/>
    </xf>
    <xf numFmtId="9" fontId="8" fillId="29" borderId="74" xfId="171" quotePrefix="1" applyNumberFormat="1" applyFont="1" applyFill="1" applyBorder="1" applyAlignment="1">
      <alignment horizontal="center" vertical="center" wrapText="1"/>
    </xf>
    <xf numFmtId="0" fontId="8" fillId="29" borderId="69" xfId="171" applyFont="1" applyFill="1" applyBorder="1" applyAlignment="1">
      <alignment horizontal="left" vertical="center" wrapText="1"/>
    </xf>
    <xf numFmtId="9" fontId="8" fillId="29" borderId="69" xfId="171" quotePrefix="1" applyNumberFormat="1" applyFont="1" applyFill="1" applyBorder="1" applyAlignment="1">
      <alignment vertical="center" wrapText="1"/>
    </xf>
    <xf numFmtId="9" fontId="8" fillId="0" borderId="78" xfId="171" quotePrefix="1" applyNumberFormat="1" applyFont="1" applyFill="1" applyBorder="1" applyAlignment="1">
      <alignment horizontal="center" vertical="center" wrapText="1"/>
    </xf>
    <xf numFmtId="0" fontId="8" fillId="0" borderId="70" xfId="171" applyFont="1" applyFill="1" applyBorder="1" applyAlignment="1">
      <alignment horizontal="left" vertical="center" wrapText="1"/>
    </xf>
    <xf numFmtId="0" fontId="8" fillId="29" borderId="70" xfId="171" applyFont="1" applyFill="1" applyBorder="1" applyAlignment="1">
      <alignment horizontal="left" vertical="center" wrapText="1"/>
    </xf>
    <xf numFmtId="9" fontId="8" fillId="31" borderId="70" xfId="171" quotePrefix="1" applyNumberFormat="1" applyFont="1" applyFill="1" applyBorder="1" applyAlignment="1">
      <alignment horizontal="center" vertical="center" wrapText="1"/>
    </xf>
    <xf numFmtId="9" fontId="8" fillId="29" borderId="79" xfId="171" quotePrefix="1" applyNumberFormat="1" applyFont="1" applyFill="1" applyBorder="1" applyAlignment="1">
      <alignment horizontal="center" vertical="center" wrapText="1"/>
    </xf>
    <xf numFmtId="9" fontId="5" fillId="0" borderId="7" xfId="171" applyNumberFormat="1" applyFont="1" applyFill="1" applyBorder="1" applyAlignment="1">
      <alignment vertical="center" wrapText="1"/>
    </xf>
    <xf numFmtId="9" fontId="5" fillId="0" borderId="7" xfId="171" applyNumberFormat="1" applyFont="1" applyFill="1" applyBorder="1" applyAlignment="1">
      <alignment horizontal="left" vertical="center" wrapText="1" indent="2"/>
    </xf>
    <xf numFmtId="9" fontId="55" fillId="0" borderId="7" xfId="171" applyNumberFormat="1" applyFont="1" applyFill="1" applyBorder="1" applyAlignment="1">
      <alignment horizontal="left" vertical="center" wrapText="1" indent="4"/>
    </xf>
    <xf numFmtId="9" fontId="5" fillId="0" borderId="7" xfId="172" applyNumberFormat="1" applyFont="1" applyFill="1" applyBorder="1" applyAlignment="1">
      <alignment horizontal="left" vertical="center" wrapText="1" indent="2"/>
    </xf>
    <xf numFmtId="9" fontId="5" fillId="27" borderId="7" xfId="171" applyNumberFormat="1" applyFont="1" applyFill="1" applyBorder="1" applyAlignment="1">
      <alignment horizontal="left" vertical="center" wrapText="1" indent="1"/>
    </xf>
    <xf numFmtId="9" fontId="5" fillId="31" borderId="7" xfId="171" applyNumberFormat="1" applyFont="1" applyFill="1" applyBorder="1" applyAlignment="1">
      <alignment horizontal="left" vertical="center" wrapText="1" indent="1"/>
    </xf>
    <xf numFmtId="0" fontId="5" fillId="31" borderId="7" xfId="172" applyFont="1" applyFill="1" applyBorder="1" applyAlignment="1">
      <alignment vertical="center" wrapText="1"/>
    </xf>
    <xf numFmtId="0" fontId="8" fillId="0" borderId="67" xfId="171" applyFont="1" applyBorder="1" applyAlignment="1">
      <alignment vertical="center" wrapText="1"/>
    </xf>
    <xf numFmtId="0" fontId="8" fillId="29" borderId="68" xfId="171" applyFont="1" applyFill="1" applyBorder="1" applyAlignment="1">
      <alignment vertical="center" wrapText="1"/>
    </xf>
    <xf numFmtId="0" fontId="8" fillId="0" borderId="68" xfId="171" applyFont="1" applyBorder="1" applyAlignment="1">
      <alignment vertical="center" wrapText="1"/>
    </xf>
    <xf numFmtId="0" fontId="8" fillId="29" borderId="68" xfId="171" applyFont="1" applyFill="1" applyBorder="1" applyAlignment="1">
      <alignment vertical="center"/>
    </xf>
    <xf numFmtId="0" fontId="8" fillId="0" borderId="68" xfId="171" applyFont="1" applyFill="1" applyBorder="1" applyAlignment="1">
      <alignment vertical="center"/>
    </xf>
    <xf numFmtId="0" fontId="8" fillId="0" borderId="68" xfId="171" applyFont="1" applyBorder="1" applyAlignment="1">
      <alignment vertical="center"/>
    </xf>
    <xf numFmtId="0" fontId="8" fillId="31" borderId="68" xfId="171" applyFont="1" applyFill="1" applyBorder="1" applyAlignment="1">
      <alignment vertical="center"/>
    </xf>
    <xf numFmtId="0" fontId="8" fillId="0" borderId="73" xfId="171" applyFont="1" applyFill="1" applyBorder="1" applyAlignment="1">
      <alignment vertical="center"/>
    </xf>
    <xf numFmtId="0" fontId="8" fillId="0" borderId="66" xfId="171" applyFont="1" applyBorder="1" applyAlignment="1">
      <alignment vertical="center" wrapText="1"/>
    </xf>
    <xf numFmtId="0" fontId="8" fillId="29" borderId="69" xfId="171" applyFont="1" applyFill="1" applyBorder="1" applyAlignment="1">
      <alignment vertical="center" wrapText="1"/>
    </xf>
    <xf numFmtId="0" fontId="8" fillId="0" borderId="69" xfId="171" applyFont="1" applyBorder="1" applyAlignment="1">
      <alignment vertical="center" wrapText="1"/>
    </xf>
    <xf numFmtId="0" fontId="8" fillId="29" borderId="69" xfId="171" applyFont="1" applyFill="1" applyBorder="1" applyAlignment="1">
      <alignment vertical="center"/>
    </xf>
    <xf numFmtId="0" fontId="8" fillId="31" borderId="69" xfId="171" applyFont="1" applyFill="1" applyBorder="1" applyAlignment="1">
      <alignment vertical="center"/>
    </xf>
    <xf numFmtId="0" fontId="8" fillId="0" borderId="69" xfId="171" applyFont="1" applyFill="1" applyBorder="1" applyAlignment="1">
      <alignment vertical="center"/>
    </xf>
    <xf numFmtId="0" fontId="8" fillId="0" borderId="69" xfId="171" applyFont="1" applyBorder="1" applyAlignment="1">
      <alignment vertical="center"/>
    </xf>
    <xf numFmtId="0" fontId="8" fillId="0" borderId="74" xfId="171" applyFont="1" applyFill="1" applyBorder="1" applyAlignment="1">
      <alignment vertical="center"/>
    </xf>
    <xf numFmtId="0" fontId="8" fillId="31" borderId="66" xfId="171" applyFont="1" applyFill="1" applyBorder="1" applyAlignment="1">
      <alignment vertical="center" wrapText="1"/>
    </xf>
    <xf numFmtId="0" fontId="8" fillId="31" borderId="69" xfId="171" applyFont="1" applyFill="1" applyBorder="1" applyAlignment="1">
      <alignment vertical="center" wrapText="1"/>
    </xf>
    <xf numFmtId="0" fontId="8" fillId="31" borderId="74" xfId="171" applyFont="1" applyFill="1" applyBorder="1" applyAlignment="1">
      <alignment vertical="center"/>
    </xf>
    <xf numFmtId="0" fontId="8" fillId="0" borderId="66" xfId="171" applyFont="1" applyBorder="1" applyAlignment="1">
      <alignment horizontal="center" vertical="center" wrapText="1"/>
    </xf>
    <xf numFmtId="0" fontId="8" fillId="0" borderId="69" xfId="171" applyFont="1" applyBorder="1" applyAlignment="1">
      <alignment horizontal="center" vertical="center" wrapText="1"/>
    </xf>
    <xf numFmtId="0" fontId="8" fillId="0" borderId="66" xfId="171" applyFont="1" applyBorder="1" applyAlignment="1">
      <alignment horizontal="left" vertical="center" wrapText="1"/>
    </xf>
    <xf numFmtId="0" fontId="8" fillId="0" borderId="69" xfId="171" applyFont="1" applyBorder="1" applyAlignment="1">
      <alignment horizontal="left" vertical="center" wrapText="1"/>
    </xf>
    <xf numFmtId="0" fontId="54" fillId="29" borderId="66" xfId="171" applyFont="1" applyFill="1" applyBorder="1" applyAlignment="1">
      <alignment horizontal="left" vertical="center" wrapText="1"/>
    </xf>
    <xf numFmtId="0" fontId="54" fillId="29" borderId="69" xfId="171" applyFont="1" applyFill="1" applyBorder="1" applyAlignment="1">
      <alignment horizontal="left" vertical="center" wrapText="1"/>
    </xf>
    <xf numFmtId="0" fontId="54" fillId="29" borderId="69" xfId="171" applyFont="1" applyFill="1" applyBorder="1" applyAlignment="1">
      <alignment vertical="center" wrapText="1"/>
    </xf>
    <xf numFmtId="0" fontId="54" fillId="29" borderId="69" xfId="171" applyFont="1" applyFill="1" applyBorder="1" applyAlignment="1">
      <alignment vertical="center"/>
    </xf>
    <xf numFmtId="0" fontId="54" fillId="0" borderId="66" xfId="171" applyFont="1" applyFill="1" applyBorder="1" applyAlignment="1">
      <alignment horizontal="left" vertical="center" wrapText="1"/>
    </xf>
    <xf numFmtId="0" fontId="54" fillId="0" borderId="69" xfId="171" applyFont="1" applyFill="1" applyBorder="1" applyAlignment="1">
      <alignment horizontal="left" vertical="center" wrapText="1"/>
    </xf>
    <xf numFmtId="0" fontId="54" fillId="29" borderId="72" xfId="171" applyFont="1" applyFill="1" applyBorder="1" applyAlignment="1">
      <alignment vertical="center"/>
    </xf>
    <xf numFmtId="0" fontId="8" fillId="31" borderId="67" xfId="171" applyFont="1" applyFill="1" applyBorder="1" applyAlignment="1">
      <alignment horizontal="left" vertical="center" wrapText="1"/>
    </xf>
    <xf numFmtId="0" fontId="54" fillId="29" borderId="68" xfId="171" applyFont="1" applyFill="1" applyBorder="1" applyAlignment="1">
      <alignment vertical="center"/>
    </xf>
    <xf numFmtId="0" fontId="8" fillId="31" borderId="68" xfId="171" applyFont="1" applyFill="1" applyBorder="1" applyAlignment="1">
      <alignment horizontal="left" vertical="center" wrapText="1"/>
    </xf>
    <xf numFmtId="0" fontId="54" fillId="29" borderId="73" xfId="171" applyFont="1" applyFill="1" applyBorder="1" applyAlignment="1">
      <alignment vertical="center"/>
    </xf>
    <xf numFmtId="0" fontId="8" fillId="31" borderId="66" xfId="171" applyFont="1" applyFill="1" applyBorder="1" applyAlignment="1">
      <alignment horizontal="left" vertical="center" wrapText="1"/>
    </xf>
    <xf numFmtId="0" fontId="8" fillId="36" borderId="69" xfId="172" applyFont="1" applyFill="1" applyBorder="1" applyAlignment="1">
      <alignment vertical="center"/>
    </xf>
    <xf numFmtId="0" fontId="54" fillId="29" borderId="74" xfId="171" applyFont="1" applyFill="1" applyBorder="1" applyAlignment="1">
      <alignment vertical="center"/>
    </xf>
    <xf numFmtId="0" fontId="8" fillId="31" borderId="71" xfId="171" applyFont="1" applyFill="1" applyBorder="1" applyAlignment="1">
      <alignment horizontal="left" vertical="center" wrapText="1"/>
    </xf>
    <xf numFmtId="0" fontId="8" fillId="31" borderId="72" xfId="171" applyFont="1" applyFill="1" applyBorder="1" applyAlignment="1">
      <alignment horizontal="left" vertical="center" wrapText="1"/>
    </xf>
    <xf numFmtId="0" fontId="8" fillId="36" borderId="72" xfId="172" applyFont="1" applyFill="1" applyBorder="1" applyAlignment="1">
      <alignment vertical="center"/>
    </xf>
    <xf numFmtId="0" fontId="54" fillId="29" borderId="75" xfId="171" applyFont="1" applyFill="1" applyBorder="1" applyAlignment="1">
      <alignment vertical="center"/>
    </xf>
    <xf numFmtId="9" fontId="8" fillId="27" borderId="93" xfId="171" quotePrefix="1" applyNumberFormat="1" applyFont="1" applyFill="1" applyBorder="1" applyAlignment="1">
      <alignment horizontal="center" vertical="center" wrapText="1"/>
    </xf>
    <xf numFmtId="9" fontId="8" fillId="27" borderId="85" xfId="171" quotePrefix="1" applyNumberFormat="1" applyFont="1" applyFill="1" applyBorder="1" applyAlignment="1">
      <alignment vertical="center" wrapText="1"/>
    </xf>
    <xf numFmtId="9" fontId="8" fillId="0" borderId="85" xfId="171" quotePrefix="1" applyNumberFormat="1" applyFont="1" applyFill="1" applyBorder="1" applyAlignment="1">
      <alignment vertical="center" wrapText="1"/>
    </xf>
    <xf numFmtId="9" fontId="8" fillId="27" borderId="85" xfId="171" quotePrefix="1" applyNumberFormat="1" applyFont="1" applyFill="1" applyBorder="1" applyAlignment="1">
      <alignment horizontal="center" vertical="center" wrapText="1"/>
    </xf>
    <xf numFmtId="0" fontId="8" fillId="27" borderId="85" xfId="171" applyFont="1" applyFill="1" applyBorder="1" applyAlignment="1">
      <alignment horizontal="center" vertical="center" wrapText="1"/>
    </xf>
    <xf numFmtId="0" fontId="8" fillId="0" borderId="85" xfId="171" applyFont="1" applyFill="1" applyBorder="1" applyAlignment="1">
      <alignment horizontal="center" vertical="center" wrapText="1"/>
    </xf>
    <xf numFmtId="0" fontId="8" fillId="31" borderId="85" xfId="171" applyFont="1" applyFill="1" applyBorder="1" applyAlignment="1">
      <alignment horizontal="center" vertical="center" wrapText="1"/>
    </xf>
    <xf numFmtId="0" fontId="8" fillId="0" borderId="94" xfId="171" applyFont="1" applyFill="1" applyBorder="1" applyAlignment="1">
      <alignment horizontal="center" vertical="center" wrapText="1"/>
    </xf>
    <xf numFmtId="0" fontId="113" fillId="30" borderId="16" xfId="171" applyFont="1" applyFill="1" applyBorder="1" applyAlignment="1">
      <alignment vertical="center" wrapText="1"/>
    </xf>
    <xf numFmtId="0" fontId="37" fillId="30" borderId="7" xfId="171" quotePrefix="1" applyFont="1" applyFill="1" applyBorder="1" applyAlignment="1">
      <alignment horizontal="center" vertical="center" wrapText="1"/>
    </xf>
    <xf numFmtId="0" fontId="37" fillId="30" borderId="36" xfId="171" quotePrefix="1" applyFont="1" applyFill="1" applyBorder="1" applyAlignment="1">
      <alignment horizontal="center" vertical="center" wrapText="1"/>
    </xf>
    <xf numFmtId="9" fontId="37" fillId="30" borderId="7" xfId="171" quotePrefix="1" applyNumberFormat="1" applyFont="1" applyFill="1" applyBorder="1" applyAlignment="1">
      <alignment horizontal="center" vertical="center" wrapText="1"/>
    </xf>
    <xf numFmtId="9" fontId="37" fillId="30" borderId="7" xfId="172" quotePrefix="1" applyNumberFormat="1" applyFont="1" applyFill="1" applyBorder="1" applyAlignment="1">
      <alignment horizontal="center" vertical="center" wrapText="1"/>
    </xf>
    <xf numFmtId="0" fontId="37" fillId="30" borderId="8" xfId="171" quotePrefix="1" applyFont="1" applyFill="1" applyBorder="1" applyAlignment="1">
      <alignment horizontal="center" vertical="center" wrapText="1"/>
    </xf>
    <xf numFmtId="49" fontId="37" fillId="30" borderId="7" xfId="172" quotePrefix="1" applyNumberFormat="1" applyFont="1" applyFill="1" applyBorder="1" applyAlignment="1">
      <alignment horizontal="center" vertical="center" wrapText="1"/>
    </xf>
    <xf numFmtId="49" fontId="37" fillId="30" borderId="8" xfId="172" applyNumberFormat="1" applyFont="1" applyFill="1" applyBorder="1" applyAlignment="1">
      <alignment horizontal="center" vertical="center" wrapText="1"/>
    </xf>
    <xf numFmtId="9" fontId="5" fillId="31" borderId="27" xfId="171" applyNumberFormat="1" applyFont="1" applyFill="1" applyBorder="1" applyAlignment="1">
      <alignment horizontal="left" vertical="center" wrapText="1" indent="1"/>
    </xf>
    <xf numFmtId="0" fontId="54" fillId="0" borderId="95" xfId="171" applyFont="1" applyFill="1" applyBorder="1" applyAlignment="1">
      <alignment horizontal="left" vertical="center" wrapText="1"/>
    </xf>
    <xf numFmtId="0" fontId="54" fillId="0" borderId="96" xfId="171" applyFont="1" applyFill="1" applyBorder="1" applyAlignment="1">
      <alignment horizontal="left" vertical="center" wrapText="1"/>
    </xf>
    <xf numFmtId="0" fontId="54" fillId="29" borderId="96" xfId="171" applyFont="1" applyFill="1" applyBorder="1" applyAlignment="1">
      <alignment vertical="center"/>
    </xf>
    <xf numFmtId="0" fontId="8" fillId="0" borderId="96" xfId="171" applyFont="1" applyFill="1" applyBorder="1" applyAlignment="1">
      <alignment vertical="center"/>
    </xf>
    <xf numFmtId="0" fontId="8" fillId="31" borderId="96" xfId="171" applyFont="1" applyFill="1" applyBorder="1" applyAlignment="1">
      <alignment vertical="center"/>
    </xf>
    <xf numFmtId="0" fontId="8" fillId="0" borderId="81" xfId="171" applyFont="1" applyFill="1" applyBorder="1" applyAlignment="1">
      <alignment vertical="center"/>
    </xf>
    <xf numFmtId="0" fontId="73" fillId="36" borderId="0" xfId="172" applyFont="1" applyFill="1" applyBorder="1" applyAlignment="1">
      <alignment horizontal="left" vertical="center" wrapText="1"/>
    </xf>
    <xf numFmtId="0" fontId="56" fillId="36" borderId="0" xfId="172" applyFont="1" applyFill="1" applyBorder="1" applyAlignment="1">
      <alignment vertical="center"/>
    </xf>
    <xf numFmtId="49" fontId="37" fillId="30" borderId="41" xfId="172" applyNumberFormat="1" applyFont="1" applyFill="1" applyBorder="1" applyAlignment="1">
      <alignment horizontal="center" vertical="center" wrapText="1"/>
    </xf>
    <xf numFmtId="9" fontId="5" fillId="31" borderId="12" xfId="172" applyNumberFormat="1" applyFont="1" applyFill="1" applyBorder="1" applyAlignment="1">
      <alignment vertical="center" wrapText="1"/>
    </xf>
    <xf numFmtId="49" fontId="37" fillId="30" borderId="7" xfId="178" applyNumberFormat="1" applyFont="1" applyFill="1" applyBorder="1" applyAlignment="1">
      <alignment horizontal="center" vertical="center"/>
    </xf>
    <xf numFmtId="49" fontId="37" fillId="30" borderId="8" xfId="178" applyNumberFormat="1" applyFont="1" applyFill="1" applyBorder="1" applyAlignment="1">
      <alignment horizontal="center" vertical="center"/>
    </xf>
    <xf numFmtId="0" fontId="115" fillId="30" borderId="7" xfId="178" applyFont="1" applyFill="1" applyBorder="1" applyAlignment="1">
      <alignment horizontal="center" vertical="center" wrapText="1"/>
    </xf>
    <xf numFmtId="0" fontId="75" fillId="30" borderId="14" xfId="178" applyFont="1" applyFill="1" applyBorder="1" applyAlignment="1">
      <alignment horizontal="center" vertical="center" wrapText="1"/>
    </xf>
    <xf numFmtId="0" fontId="75" fillId="30" borderId="15" xfId="178" applyFont="1" applyFill="1" applyBorder="1" applyAlignment="1">
      <alignment horizontal="center" vertical="center" wrapText="1"/>
    </xf>
    <xf numFmtId="0" fontId="75" fillId="30" borderId="17" xfId="178" applyFont="1" applyFill="1" applyBorder="1" applyAlignment="1">
      <alignment horizontal="center" vertical="center" wrapText="1"/>
    </xf>
    <xf numFmtId="0" fontId="75" fillId="30" borderId="17" xfId="178" applyFont="1" applyFill="1" applyBorder="1" applyAlignment="1">
      <alignment vertical="center"/>
    </xf>
    <xf numFmtId="0" fontId="75" fillId="30" borderId="14" xfId="178" applyFont="1" applyFill="1" applyBorder="1" applyAlignment="1">
      <alignment vertical="center"/>
    </xf>
    <xf numFmtId="0" fontId="75" fillId="30" borderId="17" xfId="178" applyFont="1" applyFill="1" applyBorder="1"/>
    <xf numFmtId="0" fontId="75" fillId="30" borderId="14" xfId="178" applyFont="1" applyFill="1" applyBorder="1"/>
    <xf numFmtId="49" fontId="37" fillId="30" borderId="41" xfId="178" applyNumberFormat="1" applyFont="1" applyFill="1" applyBorder="1" applyAlignment="1">
      <alignment horizontal="center" vertical="center"/>
    </xf>
    <xf numFmtId="0" fontId="61" fillId="0" borderId="71" xfId="178" applyFont="1" applyFill="1" applyBorder="1" applyAlignment="1">
      <alignment horizontal="center" vertical="center"/>
    </xf>
    <xf numFmtId="0" fontId="56" fillId="0" borderId="72" xfId="178" applyFont="1" applyFill="1" applyBorder="1" applyAlignment="1">
      <alignment horizontal="center"/>
    </xf>
    <xf numFmtId="0" fontId="56" fillId="27" borderId="72" xfId="178" applyFont="1" applyFill="1" applyBorder="1" applyAlignment="1">
      <alignment horizontal="center"/>
    </xf>
    <xf numFmtId="9" fontId="56" fillId="27" borderId="97" xfId="178" applyNumberFormat="1" applyFont="1" applyFill="1" applyBorder="1" applyAlignment="1">
      <alignment horizontal="center" vertical="center"/>
    </xf>
    <xf numFmtId="9" fontId="56" fillId="27" borderId="71" xfId="178" applyNumberFormat="1" applyFont="1" applyFill="1" applyBorder="1" applyAlignment="1">
      <alignment horizontal="center" vertical="center"/>
    </xf>
    <xf numFmtId="3" fontId="56" fillId="27" borderId="72" xfId="178" applyNumberFormat="1" applyFont="1" applyFill="1" applyBorder="1" applyAlignment="1">
      <alignment horizontal="center" vertical="center"/>
    </xf>
    <xf numFmtId="3" fontId="56" fillId="27" borderId="97" xfId="178" applyNumberFormat="1" applyFont="1" applyFill="1" applyBorder="1" applyAlignment="1">
      <alignment horizontal="center" vertical="center"/>
    </xf>
    <xf numFmtId="3" fontId="56" fillId="27" borderId="71" xfId="178" applyNumberFormat="1" applyFont="1" applyFill="1" applyBorder="1" applyAlignment="1">
      <alignment horizontal="center" vertical="center"/>
    </xf>
    <xf numFmtId="1" fontId="56" fillId="27" borderId="72" xfId="178" applyNumberFormat="1" applyFont="1" applyFill="1" applyBorder="1" applyAlignment="1">
      <alignment horizontal="center" vertical="center"/>
    </xf>
    <xf numFmtId="1" fontId="56" fillId="27" borderId="98" xfId="178" applyNumberFormat="1" applyFont="1" applyFill="1" applyBorder="1" applyAlignment="1">
      <alignment horizontal="center" vertical="center"/>
    </xf>
    <xf numFmtId="1" fontId="56" fillId="0" borderId="72" xfId="178" applyNumberFormat="1" applyFont="1" applyFill="1" applyBorder="1" applyAlignment="1">
      <alignment horizontal="center" vertical="center"/>
    </xf>
    <xf numFmtId="1" fontId="56" fillId="0" borderId="97" xfId="178" applyNumberFormat="1" applyFont="1" applyFill="1" applyBorder="1" applyAlignment="1">
      <alignment horizontal="center" vertical="center"/>
    </xf>
    <xf numFmtId="1" fontId="56" fillId="27" borderId="71" xfId="178" applyNumberFormat="1" applyFont="1" applyFill="1" applyBorder="1" applyAlignment="1">
      <alignment horizontal="center" vertical="center"/>
    </xf>
    <xf numFmtId="1" fontId="56" fillId="0" borderId="71" xfId="178" applyNumberFormat="1" applyFont="1" applyFill="1" applyBorder="1" applyAlignment="1">
      <alignment horizontal="center" vertical="center"/>
    </xf>
    <xf numFmtId="10" fontId="56" fillId="0" borderId="72" xfId="178" applyNumberFormat="1" applyFont="1" applyFill="1" applyBorder="1" applyAlignment="1">
      <alignment horizontal="center" vertical="center"/>
    </xf>
    <xf numFmtId="10" fontId="56" fillId="0" borderId="75" xfId="178" applyNumberFormat="1" applyFont="1" applyFill="1" applyBorder="1" applyAlignment="1">
      <alignment horizontal="center" vertical="center"/>
    </xf>
    <xf numFmtId="0" fontId="75" fillId="30" borderId="36" xfId="178" applyFont="1" applyFill="1" applyBorder="1"/>
    <xf numFmtId="0" fontId="75" fillId="30" borderId="8" xfId="178" applyFont="1" applyFill="1" applyBorder="1" applyAlignment="1">
      <alignment vertical="center" wrapText="1"/>
    </xf>
    <xf numFmtId="0" fontId="75" fillId="30" borderId="36" xfId="178" applyFont="1" applyFill="1" applyBorder="1" applyAlignment="1">
      <alignment vertical="center" wrapText="1"/>
    </xf>
    <xf numFmtId="0" fontId="75" fillId="30" borderId="36" xfId="178" applyFont="1" applyFill="1" applyBorder="1" applyAlignment="1">
      <alignment horizontal="center" vertical="center" wrapText="1"/>
    </xf>
    <xf numFmtId="49" fontId="41" fillId="0" borderId="7" xfId="0" applyNumberFormat="1" applyFont="1" applyFill="1" applyBorder="1" applyAlignment="1">
      <alignment horizontal="left" vertical="center" wrapText="1"/>
    </xf>
    <xf numFmtId="3" fontId="8" fillId="0" borderId="99" xfId="0" applyNumberFormat="1" applyFont="1" applyFill="1" applyBorder="1" applyAlignment="1">
      <alignment horizontal="center" vertical="center" wrapText="1"/>
    </xf>
    <xf numFmtId="3" fontId="8" fillId="0" borderId="100" xfId="0" applyNumberFormat="1" applyFont="1" applyFill="1" applyBorder="1" applyAlignment="1">
      <alignment horizontal="center" vertical="center" wrapText="1"/>
    </xf>
    <xf numFmtId="1" fontId="8" fillId="0" borderId="100" xfId="0" applyNumberFormat="1" applyFont="1" applyFill="1" applyBorder="1" applyAlignment="1">
      <alignment horizontal="center" vertical="center"/>
    </xf>
    <xf numFmtId="3" fontId="8" fillId="0" borderId="100" xfId="0" applyNumberFormat="1" applyFont="1" applyFill="1" applyBorder="1" applyAlignment="1">
      <alignment horizontal="center" vertical="center"/>
    </xf>
    <xf numFmtId="0" fontId="8" fillId="0" borderId="100" xfId="0" applyFont="1" applyFill="1" applyBorder="1" applyAlignment="1">
      <alignment horizontal="center" vertical="center" wrapText="1"/>
    </xf>
    <xf numFmtId="1" fontId="8" fillId="0" borderId="100" xfId="0" applyNumberFormat="1" applyFont="1" applyFill="1" applyBorder="1" applyAlignment="1">
      <alignment horizontal="center" vertical="center" wrapText="1"/>
    </xf>
    <xf numFmtId="3" fontId="8" fillId="0" borderId="101" xfId="0" applyNumberFormat="1" applyFont="1" applyFill="1" applyBorder="1" applyAlignment="1">
      <alignment horizontal="center" vertical="center" wrapText="1"/>
    </xf>
    <xf numFmtId="0" fontId="8" fillId="31" borderId="0" xfId="0" applyFont="1" applyFill="1" applyBorder="1" applyAlignment="1">
      <alignment vertical="center"/>
    </xf>
    <xf numFmtId="0" fontId="57" fillId="31" borderId="0" xfId="0" applyFont="1" applyFill="1" applyBorder="1" applyAlignment="1">
      <alignment horizontal="left" vertical="center" wrapText="1" indent="2"/>
    </xf>
    <xf numFmtId="0" fontId="5" fillId="30" borderId="35" xfId="0" applyFont="1" applyFill="1" applyBorder="1" applyAlignment="1">
      <alignment horizontal="center" vertical="center" wrapText="1"/>
    </xf>
    <xf numFmtId="0" fontId="5" fillId="31" borderId="0" xfId="0" applyFont="1" applyFill="1" applyBorder="1" applyAlignment="1">
      <alignment horizontal="center" vertical="top" wrapText="1"/>
    </xf>
    <xf numFmtId="0" fontId="57" fillId="31" borderId="0" xfId="0" applyFont="1" applyFill="1" applyBorder="1" applyAlignment="1">
      <alignment horizontal="center" vertical="center" wrapText="1"/>
    </xf>
    <xf numFmtId="0" fontId="41" fillId="0" borderId="7" xfId="196" applyFont="1" applyFill="1" applyBorder="1" applyAlignment="1">
      <alignment horizontal="left" vertical="center" wrapText="1"/>
    </xf>
    <xf numFmtId="0" fontId="5" fillId="30" borderId="40" xfId="0" applyFont="1" applyFill="1" applyBorder="1" applyAlignment="1">
      <alignment horizontal="center" vertical="top" wrapText="1"/>
    </xf>
    <xf numFmtId="0" fontId="5" fillId="30" borderId="39" xfId="0" applyFont="1" applyFill="1" applyBorder="1" applyAlignment="1">
      <alignment horizontal="center" vertical="top" wrapText="1"/>
    </xf>
    <xf numFmtId="0" fontId="5" fillId="0" borderId="99" xfId="196" applyFont="1" applyFill="1" applyBorder="1" applyAlignment="1">
      <alignment horizontal="right" vertical="top" wrapText="1"/>
    </xf>
    <xf numFmtId="0" fontId="38" fillId="0" borderId="100" xfId="196" applyFont="1" applyFill="1" applyBorder="1" applyAlignment="1">
      <alignment horizontal="right" vertical="top" wrapText="1"/>
    </xf>
    <xf numFmtId="0" fontId="5" fillId="0" borderId="100" xfId="196" applyFont="1" applyFill="1" applyBorder="1" applyAlignment="1">
      <alignment horizontal="right" vertical="top" wrapText="1"/>
    </xf>
    <xf numFmtId="0" fontId="8" fillId="0" borderId="100" xfId="196" applyFont="1" applyFill="1" applyBorder="1" applyAlignment="1">
      <alignment horizontal="right" vertical="top" wrapText="1"/>
    </xf>
    <xf numFmtId="0" fontId="8" fillId="0" borderId="100" xfId="196" applyFont="1" applyFill="1" applyBorder="1" applyAlignment="1">
      <alignment horizontal="center" vertical="top" wrapText="1"/>
    </xf>
    <xf numFmtId="0" fontId="8" fillId="0" borderId="100" xfId="196" applyFont="1" applyFill="1" applyBorder="1" applyAlignment="1">
      <alignment horizontal="left" vertical="top"/>
    </xf>
    <xf numFmtId="0" fontId="39" fillId="0" borderId="100" xfId="196" applyFont="1" applyFill="1" applyBorder="1" applyAlignment="1">
      <alignment horizontal="right" vertical="center" wrapText="1"/>
    </xf>
    <xf numFmtId="0" fontId="39" fillId="0" borderId="101" xfId="196" applyFont="1" applyFill="1" applyBorder="1" applyAlignment="1">
      <alignment horizontal="right" vertical="center" wrapText="1"/>
    </xf>
    <xf numFmtId="0" fontId="6" fillId="31" borderId="0" xfId="0" applyFont="1" applyFill="1" applyBorder="1" applyAlignment="1">
      <alignment horizontal="left" vertical="center" wrapText="1"/>
    </xf>
    <xf numFmtId="0" fontId="6" fillId="31" borderId="0" xfId="0" applyFont="1" applyFill="1" applyBorder="1"/>
    <xf numFmtId="0" fontId="40" fillId="31" borderId="0" xfId="0" applyFont="1" applyFill="1" applyBorder="1" applyAlignment="1">
      <alignment vertical="center" wrapText="1"/>
    </xf>
    <xf numFmtId="0" fontId="6" fillId="31" borderId="0" xfId="0" applyFont="1" applyFill="1" applyBorder="1" applyAlignment="1">
      <alignment vertical="center"/>
    </xf>
    <xf numFmtId="0" fontId="58" fillId="31" borderId="0" xfId="0" applyFont="1" applyFill="1" applyBorder="1" applyAlignment="1">
      <alignment horizontal="center" vertical="center" wrapText="1"/>
    </xf>
    <xf numFmtId="49" fontId="35" fillId="30" borderId="38" xfId="0" applyNumberFormat="1" applyFont="1" applyFill="1" applyBorder="1" applyAlignment="1">
      <alignment horizontal="center" vertical="center"/>
    </xf>
    <xf numFmtId="0" fontId="7" fillId="0" borderId="12" xfId="0" applyFont="1" applyFill="1" applyBorder="1" applyAlignment="1">
      <alignment horizontal="left" vertical="center" wrapText="1"/>
    </xf>
    <xf numFmtId="0" fontId="114" fillId="0" borderId="7" xfId="0" applyFont="1" applyFill="1" applyBorder="1" applyAlignment="1">
      <alignment horizontal="center" vertical="center"/>
    </xf>
    <xf numFmtId="0" fontId="114" fillId="0" borderId="12" xfId="0" applyFont="1" applyFill="1" applyBorder="1" applyAlignment="1">
      <alignment horizontal="center" vertical="center"/>
    </xf>
    <xf numFmtId="0" fontId="5" fillId="30" borderId="64" xfId="0" applyFont="1" applyFill="1" applyBorder="1" applyAlignment="1" applyProtection="1">
      <alignment vertical="center"/>
    </xf>
    <xf numFmtId="0" fontId="5" fillId="30" borderId="23" xfId="0" applyFont="1" applyFill="1" applyBorder="1" applyAlignment="1" applyProtection="1">
      <alignment vertical="center"/>
    </xf>
    <xf numFmtId="0" fontId="5" fillId="30" borderId="49" xfId="0" applyFont="1" applyFill="1" applyBorder="1" applyAlignment="1" applyProtection="1">
      <alignment vertical="center"/>
    </xf>
    <xf numFmtId="0" fontId="6" fillId="0" borderId="99" xfId="0" applyFont="1" applyFill="1" applyBorder="1" applyAlignment="1">
      <alignment horizontal="center" vertical="center" wrapText="1"/>
    </xf>
    <xf numFmtId="0" fontId="6" fillId="0" borderId="100" xfId="0" applyFont="1" applyFill="1" applyBorder="1" applyAlignment="1">
      <alignment horizontal="center" vertical="center" wrapText="1"/>
    </xf>
    <xf numFmtId="0" fontId="6" fillId="0" borderId="102" xfId="0" applyFont="1" applyFill="1" applyBorder="1" applyAlignment="1">
      <alignment horizontal="center" vertical="center" wrapText="1"/>
    </xf>
    <xf numFmtId="0" fontId="6" fillId="0" borderId="101" xfId="0" applyFont="1" applyFill="1" applyBorder="1" applyAlignment="1">
      <alignment horizontal="center" vertical="center" wrapText="1"/>
    </xf>
    <xf numFmtId="0" fontId="58" fillId="31" borderId="0" xfId="0" applyFont="1" applyFill="1" applyBorder="1" applyAlignment="1">
      <alignment horizontal="center" vertical="center"/>
    </xf>
    <xf numFmtId="0" fontId="7" fillId="0" borderId="7" xfId="0" applyFont="1" applyFill="1" applyBorder="1" applyAlignment="1">
      <alignment horizontal="left" vertical="center"/>
    </xf>
    <xf numFmtId="0" fontId="5" fillId="31" borderId="7" xfId="0" applyFont="1" applyFill="1" applyBorder="1" applyAlignment="1" applyProtection="1">
      <alignment vertical="center" wrapText="1"/>
    </xf>
    <xf numFmtId="0" fontId="5" fillId="31" borderId="7" xfId="0" applyFont="1" applyFill="1" applyBorder="1" applyAlignment="1" applyProtection="1">
      <alignment horizontal="left" vertical="center" wrapText="1"/>
    </xf>
    <xf numFmtId="0" fontId="5" fillId="30" borderId="41" xfId="0" applyFont="1" applyFill="1" applyBorder="1" applyAlignment="1" applyProtection="1">
      <alignment horizontal="center" vertical="center"/>
    </xf>
    <xf numFmtId="3" fontId="86" fillId="0" borderId="99" xfId="0" applyNumberFormat="1" applyFont="1" applyFill="1" applyBorder="1" applyAlignment="1">
      <alignment horizontal="center" vertical="center" wrapText="1"/>
    </xf>
    <xf numFmtId="3" fontId="86" fillId="0" borderId="100" xfId="0" applyNumberFormat="1" applyFont="1" applyFill="1" applyBorder="1" applyAlignment="1">
      <alignment horizontal="center" vertical="center" wrapText="1"/>
    </xf>
    <xf numFmtId="3" fontId="86" fillId="0" borderId="102" xfId="0" applyNumberFormat="1" applyFont="1" applyFill="1" applyBorder="1" applyAlignment="1">
      <alignment horizontal="center" vertical="center" wrapText="1"/>
    </xf>
    <xf numFmtId="3" fontId="56" fillId="0" borderId="99" xfId="112" applyNumberFormat="1" applyFont="1" applyFill="1" applyBorder="1" applyAlignment="1" applyProtection="1">
      <alignment horizontal="center" vertical="center" wrapText="1"/>
    </xf>
    <xf numFmtId="3" fontId="56" fillId="0" borderId="100" xfId="129" applyFont="1" applyFill="1" applyBorder="1" applyAlignment="1">
      <alignment horizontal="center" vertical="center" wrapText="1"/>
      <protection locked="0"/>
    </xf>
    <xf numFmtId="3" fontId="56" fillId="31" borderId="100" xfId="129" applyFont="1" applyFill="1" applyBorder="1" applyAlignment="1">
      <alignment horizontal="center" vertical="center" wrapText="1"/>
      <protection locked="0"/>
    </xf>
    <xf numFmtId="3" fontId="56" fillId="0" borderId="102" xfId="129" applyFont="1" applyFill="1" applyBorder="1" applyAlignment="1">
      <alignment horizontal="center" vertical="center" wrapText="1"/>
      <protection locked="0"/>
    </xf>
    <xf numFmtId="3" fontId="56" fillId="0" borderId="99" xfId="194" applyFont="1" applyFill="1" applyBorder="1" applyAlignment="1">
      <alignment horizontal="center" vertical="center" wrapText="1"/>
    </xf>
    <xf numFmtId="3" fontId="56" fillId="0" borderId="100" xfId="194" applyFont="1" applyFill="1" applyBorder="1" applyAlignment="1">
      <alignment horizontal="center" vertical="center" wrapText="1"/>
    </xf>
    <xf numFmtId="3" fontId="6" fillId="0" borderId="100" xfId="0" applyNumberFormat="1" applyFont="1" applyFill="1" applyBorder="1" applyAlignment="1">
      <alignment horizontal="center" vertical="center" wrapText="1"/>
    </xf>
    <xf numFmtId="3" fontId="56" fillId="0" borderId="99" xfId="129" applyFont="1" applyFill="1" applyBorder="1" applyAlignment="1">
      <alignment horizontal="center" vertical="center" wrapText="1"/>
      <protection locked="0"/>
    </xf>
    <xf numFmtId="10" fontId="56" fillId="0" borderId="99" xfId="187" applyNumberFormat="1" applyFont="1" applyFill="1" applyBorder="1" applyAlignment="1" applyProtection="1">
      <alignment horizontal="center" vertical="center" wrapText="1"/>
      <protection locked="0"/>
    </xf>
    <xf numFmtId="10" fontId="56" fillId="0" borderId="100" xfId="187" applyNumberFormat="1" applyFont="1" applyFill="1" applyBorder="1" applyAlignment="1" applyProtection="1">
      <alignment horizontal="center" vertical="center" wrapText="1"/>
      <protection locked="0"/>
    </xf>
    <xf numFmtId="10" fontId="56" fillId="31" borderId="100" xfId="187" applyNumberFormat="1" applyFont="1" applyFill="1" applyBorder="1" applyAlignment="1" applyProtection="1">
      <alignment horizontal="center" vertical="center" wrapText="1"/>
      <protection locked="0"/>
    </xf>
    <xf numFmtId="10" fontId="56" fillId="31" borderId="102" xfId="187" applyNumberFormat="1" applyFont="1" applyFill="1" applyBorder="1" applyAlignment="1" applyProtection="1">
      <alignment horizontal="center" vertical="center" wrapText="1"/>
      <protection locked="0"/>
    </xf>
    <xf numFmtId="10" fontId="56" fillId="0" borderId="41" xfId="187" applyNumberFormat="1" applyFont="1" applyFill="1" applyBorder="1" applyAlignment="1" applyProtection="1">
      <alignment horizontal="center" vertical="center" wrapText="1"/>
      <protection locked="0"/>
    </xf>
    <xf numFmtId="10" fontId="56" fillId="0" borderId="102" xfId="187" applyNumberFormat="1" applyFont="1" applyFill="1" applyBorder="1" applyAlignment="1" applyProtection="1">
      <alignment horizontal="center" vertical="center" wrapText="1"/>
      <protection locked="0"/>
    </xf>
    <xf numFmtId="3" fontId="5" fillId="30" borderId="7" xfId="0" applyNumberFormat="1" applyFont="1" applyFill="1" applyBorder="1" applyAlignment="1">
      <alignment vertical="center" wrapText="1"/>
    </xf>
    <xf numFmtId="49" fontId="8" fillId="30" borderId="7" xfId="0" applyNumberFormat="1" applyFont="1" applyFill="1" applyBorder="1" applyAlignment="1">
      <alignment horizontal="center" vertical="center" wrapText="1"/>
    </xf>
    <xf numFmtId="3" fontId="8" fillId="31" borderId="0" xfId="0" applyNumberFormat="1" applyFont="1" applyFill="1" applyBorder="1" applyAlignment="1">
      <alignment wrapText="1"/>
    </xf>
    <xf numFmtId="3" fontId="8" fillId="31" borderId="0" xfId="0" applyNumberFormat="1" applyFont="1" applyFill="1" applyBorder="1" applyAlignment="1">
      <alignment vertical="center" wrapText="1"/>
    </xf>
    <xf numFmtId="3" fontId="5" fillId="30" borderId="37" xfId="0" applyNumberFormat="1" applyFont="1" applyFill="1" applyBorder="1" applyAlignment="1">
      <alignment vertical="center" wrapText="1"/>
    </xf>
    <xf numFmtId="3" fontId="8" fillId="0" borderId="67" xfId="0" applyNumberFormat="1" applyFont="1" applyFill="1" applyBorder="1" applyAlignment="1">
      <alignment horizontal="center" vertical="center" wrapText="1"/>
    </xf>
    <xf numFmtId="3" fontId="8" fillId="0" borderId="68" xfId="0" applyNumberFormat="1" applyFont="1" applyFill="1" applyBorder="1" applyAlignment="1">
      <alignment horizontal="center" vertical="center" wrapText="1"/>
    </xf>
    <xf numFmtId="9" fontId="8" fillId="0" borderId="68" xfId="188" applyFont="1" applyFill="1" applyBorder="1" applyAlignment="1">
      <alignment horizontal="center" vertical="center" wrapText="1"/>
    </xf>
    <xf numFmtId="3" fontId="8" fillId="0" borderId="66" xfId="0" applyNumberFormat="1" applyFont="1" applyFill="1" applyBorder="1" applyAlignment="1">
      <alignment horizontal="center" vertical="center" wrapText="1"/>
    </xf>
    <xf numFmtId="3" fontId="8" fillId="0" borderId="69" xfId="0" applyNumberFormat="1" applyFont="1" applyFill="1" applyBorder="1" applyAlignment="1">
      <alignment horizontal="center" vertical="center" wrapText="1"/>
    </xf>
    <xf numFmtId="9" fontId="8" fillId="0" borderId="69" xfId="188" applyFont="1" applyFill="1" applyBorder="1" applyAlignment="1">
      <alignment horizontal="center" vertical="center" wrapText="1"/>
    </xf>
    <xf numFmtId="0" fontId="8" fillId="0" borderId="66" xfId="0" applyFont="1" applyFill="1" applyBorder="1" applyAlignment="1">
      <alignment horizontal="center" vertical="center" wrapText="1"/>
    </xf>
    <xf numFmtId="3" fontId="8" fillId="32" borderId="69" xfId="0" applyNumberFormat="1" applyFont="1" applyFill="1" applyBorder="1" applyAlignment="1">
      <alignment horizontal="center" vertical="center" wrapText="1"/>
    </xf>
    <xf numFmtId="3" fontId="8" fillId="32" borderId="74" xfId="0" applyNumberFormat="1" applyFont="1" applyFill="1" applyBorder="1" applyAlignment="1">
      <alignment horizontal="center" vertical="center" wrapText="1"/>
    </xf>
    <xf numFmtId="3" fontId="8" fillId="0" borderId="66" xfId="0" quotePrefix="1" applyNumberFormat="1" applyFont="1" applyFill="1" applyBorder="1" applyAlignment="1">
      <alignment horizontal="center" vertical="center" wrapText="1"/>
    </xf>
    <xf numFmtId="3" fontId="8" fillId="0" borderId="71" xfId="0" quotePrefix="1" applyNumberFormat="1" applyFont="1" applyFill="1" applyBorder="1" applyAlignment="1">
      <alignment horizontal="center" vertical="center" wrapText="1"/>
    </xf>
    <xf numFmtId="3" fontId="8" fillId="32" borderId="72" xfId="0" applyNumberFormat="1" applyFont="1" applyFill="1" applyBorder="1" applyAlignment="1">
      <alignment horizontal="center" vertical="center" wrapText="1"/>
    </xf>
    <xf numFmtId="3" fontId="8" fillId="32" borderId="75" xfId="0" applyNumberFormat="1" applyFont="1" applyFill="1" applyBorder="1" applyAlignment="1">
      <alignment horizontal="center" vertical="center" wrapText="1"/>
    </xf>
    <xf numFmtId="3" fontId="53" fillId="0" borderId="67" xfId="0" applyNumberFormat="1" applyFont="1" applyFill="1" applyBorder="1" applyAlignment="1">
      <alignment horizontal="center" vertical="center" wrapText="1"/>
    </xf>
    <xf numFmtId="3" fontId="53" fillId="0" borderId="68" xfId="0" applyNumberFormat="1" applyFont="1" applyFill="1" applyBorder="1" applyAlignment="1">
      <alignment horizontal="center" vertical="center" wrapText="1"/>
    </xf>
    <xf numFmtId="3" fontId="53" fillId="32" borderId="68" xfId="0" applyNumberFormat="1" applyFont="1" applyFill="1" applyBorder="1" applyAlignment="1">
      <alignment horizontal="center" vertical="center" wrapText="1"/>
    </xf>
    <xf numFmtId="3" fontId="53" fillId="0" borderId="73" xfId="0" applyNumberFormat="1" applyFont="1" applyFill="1" applyBorder="1" applyAlignment="1">
      <alignment horizontal="center" vertical="center" wrapText="1"/>
    </xf>
    <xf numFmtId="3" fontId="53" fillId="0" borderId="66" xfId="0" applyNumberFormat="1" applyFont="1" applyFill="1" applyBorder="1" applyAlignment="1">
      <alignment horizontal="center" vertical="center" wrapText="1"/>
    </xf>
    <xf numFmtId="3" fontId="53" fillId="0" borderId="69" xfId="0" applyNumberFormat="1" applyFont="1" applyFill="1" applyBorder="1" applyAlignment="1">
      <alignment horizontal="center" vertical="center" wrapText="1"/>
    </xf>
    <xf numFmtId="3" fontId="53" fillId="32" borderId="69" xfId="0" applyNumberFormat="1" applyFont="1" applyFill="1" applyBorder="1" applyAlignment="1">
      <alignment horizontal="center" vertical="center" wrapText="1"/>
    </xf>
    <xf numFmtId="3" fontId="53" fillId="0" borderId="74" xfId="0" applyNumberFormat="1" applyFont="1" applyFill="1" applyBorder="1" applyAlignment="1">
      <alignment horizontal="center" vertical="center" wrapText="1"/>
    </xf>
    <xf numFmtId="3" fontId="81" fillId="0" borderId="66" xfId="0" applyNumberFormat="1" applyFont="1" applyFill="1" applyBorder="1" applyAlignment="1">
      <alignment horizontal="center" vertical="center" wrapText="1"/>
    </xf>
    <xf numFmtId="3" fontId="81" fillId="0" borderId="69" xfId="0" applyNumberFormat="1" applyFont="1" applyFill="1" applyBorder="1" applyAlignment="1">
      <alignment horizontal="center" vertical="center" wrapText="1"/>
    </xf>
    <xf numFmtId="3" fontId="53" fillId="32" borderId="74" xfId="0" applyNumberFormat="1" applyFont="1" applyFill="1" applyBorder="1" applyAlignment="1">
      <alignment horizontal="center" vertical="center" wrapText="1"/>
    </xf>
    <xf numFmtId="3" fontId="53" fillId="32" borderId="66" xfId="0" applyNumberFormat="1" applyFont="1" applyFill="1" applyBorder="1" applyAlignment="1">
      <alignment horizontal="center" vertical="center" wrapText="1"/>
    </xf>
    <xf numFmtId="3" fontId="53" fillId="31" borderId="69" xfId="0" applyNumberFormat="1" applyFont="1" applyFill="1" applyBorder="1" applyAlignment="1">
      <alignment horizontal="center" vertical="center" wrapText="1"/>
    </xf>
    <xf numFmtId="3" fontId="53" fillId="31" borderId="66" xfId="0" applyNumberFormat="1" applyFont="1" applyFill="1" applyBorder="1" applyAlignment="1">
      <alignment horizontal="center" vertical="center" wrapText="1"/>
    </xf>
    <xf numFmtId="3" fontId="53" fillId="31" borderId="74" xfId="0" applyNumberFormat="1" applyFont="1" applyFill="1" applyBorder="1" applyAlignment="1">
      <alignment horizontal="center" vertical="center" wrapText="1"/>
    </xf>
    <xf numFmtId="3" fontId="5" fillId="30" borderId="41" xfId="0" applyNumberFormat="1" applyFont="1" applyFill="1" applyBorder="1" applyAlignment="1">
      <alignment horizontal="center" vertical="center" wrapText="1"/>
    </xf>
    <xf numFmtId="49" fontId="8" fillId="30" borderId="41" xfId="0" quotePrefix="1" applyNumberFormat="1" applyFont="1" applyFill="1" applyBorder="1" applyAlignment="1">
      <alignment horizontal="center" vertical="center" wrapText="1"/>
    </xf>
    <xf numFmtId="0" fontId="131" fillId="0" borderId="0" xfId="0" applyFont="1" applyFill="1" applyAlignment="1">
      <alignment vertical="center"/>
    </xf>
    <xf numFmtId="0" fontId="131" fillId="0" borderId="0" xfId="0" quotePrefix="1" applyFont="1"/>
    <xf numFmtId="0" fontId="8" fillId="0" borderId="0" xfId="0" applyFont="1" applyAlignment="1">
      <alignment vertical="center" wrapText="1"/>
    </xf>
    <xf numFmtId="0" fontId="8" fillId="0" borderId="0" xfId="0" applyFont="1" applyAlignment="1">
      <alignment horizontal="left" vertical="top" wrapText="1"/>
    </xf>
    <xf numFmtId="0" fontId="131" fillId="27" borderId="0" xfId="178" applyFont="1" applyFill="1" applyAlignment="1">
      <alignment horizontal="center"/>
    </xf>
    <xf numFmtId="0" fontId="70" fillId="0" borderId="0" xfId="178" applyFont="1"/>
    <xf numFmtId="0" fontId="5" fillId="30" borderId="28" xfId="0" applyFont="1" applyFill="1" applyBorder="1"/>
    <xf numFmtId="0" fontId="5" fillId="30" borderId="13" xfId="0" applyFont="1" applyFill="1" applyBorder="1"/>
    <xf numFmtId="9" fontId="131" fillId="0" borderId="69" xfId="171" applyNumberFormat="1" applyFont="1" applyFill="1" applyBorder="1" applyAlignment="1">
      <alignment vertical="center" wrapText="1"/>
    </xf>
    <xf numFmtId="0" fontId="131" fillId="0" borderId="0" xfId="0" applyFont="1" applyBorder="1"/>
    <xf numFmtId="0" fontId="76" fillId="0" borderId="0" xfId="177" applyFont="1"/>
    <xf numFmtId="0" fontId="78" fillId="30" borderId="13" xfId="151" applyFont="1" applyFill="1" applyBorder="1" applyAlignment="1">
      <alignment horizontal="center" vertical="center" wrapText="1"/>
    </xf>
    <xf numFmtId="0" fontId="78" fillId="30" borderId="16" xfId="151" applyFont="1" applyFill="1" applyBorder="1" applyAlignment="1">
      <alignment horizontal="center" vertical="center"/>
    </xf>
    <xf numFmtId="0" fontId="78" fillId="30" borderId="7" xfId="151" applyFont="1" applyFill="1" applyBorder="1" applyAlignment="1">
      <alignment horizontal="left" vertical="center"/>
    </xf>
    <xf numFmtId="0" fontId="77" fillId="30" borderId="27" xfId="0" applyFont="1" applyFill="1" applyBorder="1" applyAlignment="1">
      <alignment horizontal="center" vertical="center" wrapText="1"/>
    </xf>
    <xf numFmtId="0" fontId="60" fillId="30" borderId="27" xfId="0" applyFont="1" applyFill="1" applyBorder="1" applyAlignment="1">
      <alignment horizontal="center" vertical="center" wrapText="1"/>
    </xf>
    <xf numFmtId="0" fontId="77" fillId="30" borderId="7" xfId="196" applyFont="1" applyFill="1" applyBorder="1" applyAlignment="1">
      <alignment horizontal="center" vertical="center" wrapText="1"/>
    </xf>
    <xf numFmtId="0" fontId="77" fillId="30" borderId="7" xfId="163" applyFont="1" applyFill="1" applyBorder="1" applyAlignment="1">
      <alignment horizontal="center" vertical="center" wrapText="1"/>
    </xf>
    <xf numFmtId="0" fontId="75" fillId="30" borderId="13" xfId="149" applyFont="1" applyFill="1" applyBorder="1" applyAlignment="1">
      <alignment horizontal="center" vertical="center"/>
    </xf>
    <xf numFmtId="0" fontId="72" fillId="0" borderId="0" xfId="159" applyFont="1"/>
    <xf numFmtId="9" fontId="65" fillId="0" borderId="23" xfId="171" applyNumberFormat="1" applyFont="1" applyFill="1" applyBorder="1" applyAlignment="1">
      <alignment horizontal="left" vertical="center" wrapText="1" indent="2"/>
    </xf>
    <xf numFmtId="0" fontId="60" fillId="0" borderId="17" xfId="166" applyFont="1" applyFill="1" applyBorder="1" applyAlignment="1">
      <alignment horizontal="left" vertical="center" wrapText="1"/>
    </xf>
    <xf numFmtId="0" fontId="60" fillId="0" borderId="61" xfId="166" applyFont="1" applyFill="1" applyBorder="1" applyAlignment="1">
      <alignment horizontal="left" vertical="center" wrapText="1"/>
    </xf>
    <xf numFmtId="0" fontId="71" fillId="0" borderId="7" xfId="166" applyFont="1" applyBorder="1" applyAlignment="1">
      <alignment horizontal="center" wrapText="1"/>
    </xf>
    <xf numFmtId="0" fontId="71" fillId="0" borderId="7" xfId="166" applyFont="1" applyFill="1" applyBorder="1" applyAlignment="1">
      <alignment wrapText="1"/>
    </xf>
    <xf numFmtId="0" fontId="121" fillId="0" borderId="0" xfId="151" applyFont="1" applyBorder="1" applyAlignment="1">
      <alignment horizontal="left" vertical="center"/>
    </xf>
    <xf numFmtId="0" fontId="122" fillId="0" borderId="0" xfId="151" applyFont="1" applyBorder="1" applyAlignment="1">
      <alignment horizontal="left" vertical="center"/>
    </xf>
    <xf numFmtId="0" fontId="5" fillId="30" borderId="40" xfId="0" applyFont="1" applyFill="1" applyBorder="1" applyAlignment="1">
      <alignment horizontal="center" vertical="center" wrapText="1"/>
    </xf>
    <xf numFmtId="3" fontId="5" fillId="30" borderId="40" xfId="0" applyNumberFormat="1" applyFont="1" applyFill="1" applyBorder="1" applyAlignment="1">
      <alignment horizontal="center" vertical="center" wrapText="1"/>
    </xf>
    <xf numFmtId="0" fontId="65" fillId="0" borderId="23" xfId="173" applyFont="1" applyFill="1" applyBorder="1" applyAlignment="1">
      <alignment horizontal="left" vertical="center" wrapText="1"/>
    </xf>
    <xf numFmtId="0" fontId="65" fillId="0" borderId="49" xfId="173" applyFont="1" applyFill="1" applyBorder="1" applyAlignment="1">
      <alignment horizontal="left" vertical="center" wrapText="1"/>
    </xf>
    <xf numFmtId="0" fontId="57" fillId="0" borderId="36" xfId="174" applyFont="1" applyFill="1" applyBorder="1" applyAlignment="1">
      <alignment horizontal="left" vertical="center" wrapText="1"/>
    </xf>
    <xf numFmtId="0" fontId="67" fillId="32" borderId="75" xfId="149" applyFont="1" applyFill="1" applyBorder="1" applyAlignment="1">
      <alignment vertical="center"/>
    </xf>
    <xf numFmtId="0" fontId="124" fillId="0" borderId="0" xfId="159" applyFont="1"/>
    <xf numFmtId="0" fontId="60" fillId="0" borderId="0" xfId="159" applyFont="1" applyAlignment="1">
      <alignment vertical="center"/>
    </xf>
    <xf numFmtId="0" fontId="57" fillId="30" borderId="7" xfId="159" applyFont="1" applyFill="1" applyBorder="1" applyAlignment="1">
      <alignment horizontal="center" vertical="center" wrapText="1"/>
    </xf>
    <xf numFmtId="0" fontId="57" fillId="30" borderId="41" xfId="159" applyFont="1" applyFill="1" applyBorder="1" applyAlignment="1">
      <alignment horizontal="center" vertical="center" wrapText="1"/>
    </xf>
    <xf numFmtId="0" fontId="78" fillId="30" borderId="7" xfId="151" applyFont="1" applyFill="1" applyBorder="1" applyAlignment="1">
      <alignment horizontal="center" vertical="center" wrapText="1"/>
    </xf>
    <xf numFmtId="0" fontId="78" fillId="30" borderId="36" xfId="151" applyFont="1" applyFill="1" applyBorder="1" applyAlignment="1">
      <alignment horizontal="left" vertical="center"/>
    </xf>
    <xf numFmtId="0" fontId="8" fillId="0" borderId="52" xfId="159" applyFont="1" applyBorder="1"/>
    <xf numFmtId="0" fontId="8" fillId="0" borderId="0" xfId="159" applyFont="1" applyBorder="1"/>
    <xf numFmtId="0" fontId="56" fillId="0" borderId="0" xfId="159" applyFont="1" applyFill="1" applyBorder="1"/>
    <xf numFmtId="0" fontId="8" fillId="0" borderId="26" xfId="159" applyFont="1" applyBorder="1"/>
    <xf numFmtId="0" fontId="8" fillId="0" borderId="12" xfId="159" applyFont="1" applyBorder="1" applyAlignment="1">
      <alignment horizontal="center"/>
    </xf>
    <xf numFmtId="0" fontId="8" fillId="0" borderId="12" xfId="159" applyFont="1" applyFill="1" applyBorder="1" applyAlignment="1">
      <alignment horizontal="center"/>
    </xf>
    <xf numFmtId="0" fontId="5" fillId="0" borderId="12" xfId="159" applyFont="1" applyFill="1" applyBorder="1" applyAlignment="1">
      <alignment horizontal="center" vertical="center" wrapText="1"/>
    </xf>
    <xf numFmtId="0" fontId="8" fillId="0" borderId="103" xfId="159" applyFont="1" applyBorder="1" applyAlignment="1">
      <alignment horizontal="center"/>
    </xf>
    <xf numFmtId="0" fontId="8" fillId="0" borderId="104" xfId="159" applyFont="1" applyBorder="1" applyAlignment="1">
      <alignment horizontal="center"/>
    </xf>
    <xf numFmtId="0" fontId="8" fillId="0" borderId="105" xfId="159" applyFont="1" applyBorder="1" applyAlignment="1">
      <alignment horizontal="center"/>
    </xf>
    <xf numFmtId="0" fontId="8" fillId="0" borderId="103" xfId="159" applyFont="1" applyFill="1" applyBorder="1" applyAlignment="1">
      <alignment horizontal="center"/>
    </xf>
    <xf numFmtId="0" fontId="8" fillId="0" borderId="105" xfId="159" applyFont="1" applyFill="1" applyBorder="1" applyAlignment="1">
      <alignment horizontal="center"/>
    </xf>
    <xf numFmtId="0" fontId="8" fillId="0" borderId="104" xfId="159" applyFont="1" applyFill="1" applyBorder="1" applyAlignment="1">
      <alignment horizontal="center"/>
    </xf>
    <xf numFmtId="0" fontId="56" fillId="0" borderId="12" xfId="159" applyFont="1" applyFill="1" applyBorder="1"/>
    <xf numFmtId="0" fontId="8" fillId="0" borderId="103" xfId="159" applyFont="1" applyFill="1" applyBorder="1"/>
    <xf numFmtId="0" fontId="8" fillId="0" borderId="104" xfId="159" applyFont="1" applyFill="1" applyBorder="1"/>
    <xf numFmtId="0" fontId="8" fillId="0" borderId="106" xfId="159" applyFont="1" applyBorder="1"/>
    <xf numFmtId="0" fontId="134" fillId="0" borderId="0" xfId="0" applyFont="1"/>
    <xf numFmtId="0" fontId="67" fillId="0" borderId="96" xfId="159" applyFont="1" applyFill="1" applyBorder="1" applyAlignment="1">
      <alignment horizontal="center" vertical="center"/>
    </xf>
    <xf numFmtId="0" fontId="67" fillId="32" borderId="96" xfId="159" applyFont="1" applyFill="1" applyBorder="1" applyAlignment="1">
      <alignment vertical="center"/>
    </xf>
    <xf numFmtId="0" fontId="67" fillId="32" borderId="96" xfId="159" applyFont="1" applyFill="1" applyBorder="1" applyAlignment="1">
      <alignment horizontal="center" vertical="center"/>
    </xf>
    <xf numFmtId="0" fontId="67" fillId="32" borderId="81" xfId="159" applyFont="1" applyFill="1" applyBorder="1" applyAlignment="1">
      <alignment vertical="center"/>
    </xf>
    <xf numFmtId="0" fontId="57" fillId="30" borderId="8" xfId="159" applyFont="1" applyFill="1" applyBorder="1" applyAlignment="1">
      <alignment horizontal="center" vertical="center" wrapText="1"/>
    </xf>
    <xf numFmtId="0" fontId="5" fillId="31" borderId="7" xfId="0" applyFont="1" applyFill="1" applyBorder="1" applyAlignment="1">
      <alignment horizontal="left" vertical="center" wrapText="1"/>
    </xf>
    <xf numFmtId="0" fontId="55" fillId="31" borderId="7" xfId="196" applyFont="1" applyFill="1" applyBorder="1" applyAlignment="1">
      <alignment horizontal="left" vertical="center" wrapText="1" indent="4"/>
    </xf>
    <xf numFmtId="0" fontId="37" fillId="31" borderId="7" xfId="151" applyFont="1" applyFill="1" applyBorder="1" applyAlignment="1">
      <alignment horizontal="left" vertical="center" wrapText="1"/>
    </xf>
    <xf numFmtId="0" fontId="87" fillId="30" borderId="30" xfId="163" applyFont="1" applyFill="1" applyBorder="1" applyAlignment="1">
      <alignment horizontal="left" vertical="center" indent="2"/>
    </xf>
    <xf numFmtId="0" fontId="87" fillId="30" borderId="31" xfId="163" applyFont="1" applyFill="1" applyBorder="1" applyAlignment="1">
      <alignment horizontal="left" vertical="center" indent="2"/>
    </xf>
    <xf numFmtId="0" fontId="87" fillId="30" borderId="32" xfId="163" applyFont="1" applyFill="1" applyBorder="1" applyAlignment="1">
      <alignment horizontal="left" vertical="center" indent="2"/>
    </xf>
    <xf numFmtId="0" fontId="68" fillId="30" borderId="30" xfId="175" applyFont="1" applyFill="1" applyBorder="1" applyAlignment="1">
      <alignment horizontal="left" vertical="center" indent="2"/>
    </xf>
    <xf numFmtId="0" fontId="68" fillId="30" borderId="31" xfId="175" applyFont="1" applyFill="1" applyBorder="1" applyAlignment="1">
      <alignment horizontal="left" vertical="center" indent="2"/>
    </xf>
    <xf numFmtId="0" fontId="68" fillId="30" borderId="32" xfId="175" applyFont="1" applyFill="1" applyBorder="1" applyAlignment="1">
      <alignment horizontal="left" vertical="center" indent="2"/>
    </xf>
    <xf numFmtId="10" fontId="56" fillId="31" borderId="99" xfId="187" applyNumberFormat="1" applyFont="1" applyFill="1" applyBorder="1" applyAlignment="1" applyProtection="1">
      <alignment horizontal="center" vertical="center" wrapText="1"/>
      <protection locked="0"/>
    </xf>
    <xf numFmtId="0" fontId="64" fillId="30" borderId="30" xfId="166" applyFont="1" applyFill="1" applyBorder="1" applyAlignment="1">
      <alignment horizontal="left" vertical="center" indent="1"/>
    </xf>
    <xf numFmtId="0" fontId="64" fillId="30" borderId="31" xfId="166" applyFont="1" applyFill="1" applyBorder="1" applyAlignment="1">
      <alignment horizontal="left" vertical="center" indent="1"/>
    </xf>
    <xf numFmtId="0" fontId="64" fillId="30" borderId="32" xfId="166" applyFont="1" applyFill="1" applyBorder="1" applyAlignment="1">
      <alignment horizontal="left" vertical="center" indent="1"/>
    </xf>
    <xf numFmtId="0" fontId="63" fillId="0" borderId="0" xfId="171" applyFont="1" applyFill="1" applyBorder="1" applyAlignment="1">
      <alignment horizontal="center" vertical="top" wrapText="1"/>
    </xf>
    <xf numFmtId="0" fontId="131" fillId="31" borderId="0" xfId="0" applyFont="1" applyFill="1" applyBorder="1"/>
    <xf numFmtId="0" fontId="101" fillId="31" borderId="0" xfId="0" applyFont="1" applyFill="1" applyBorder="1" applyAlignment="1">
      <alignment horizontal="left" vertical="center" wrapText="1" indent="2"/>
    </xf>
    <xf numFmtId="0" fontId="101" fillId="31" borderId="15" xfId="0" applyFont="1" applyFill="1" applyBorder="1" applyAlignment="1">
      <alignment horizontal="left" vertical="center" wrapText="1" indent="2"/>
    </xf>
    <xf numFmtId="0" fontId="75" fillId="30" borderId="0" xfId="178" applyFont="1" applyFill="1" applyBorder="1" applyAlignment="1">
      <alignment horizontal="center" vertical="center" wrapText="1"/>
    </xf>
    <xf numFmtId="0" fontId="8" fillId="0" borderId="0" xfId="200" applyFont="1"/>
    <xf numFmtId="0" fontId="61" fillId="0" borderId="0" xfId="200" applyFont="1" applyAlignment="1">
      <alignment vertical="center"/>
    </xf>
    <xf numFmtId="0" fontId="5" fillId="0" borderId="0" xfId="200" applyFont="1"/>
    <xf numFmtId="0" fontId="5" fillId="30" borderId="107" xfId="200" applyFont="1" applyFill="1" applyBorder="1"/>
    <xf numFmtId="0" fontId="5" fillId="30" borderId="108" xfId="200" applyFont="1" applyFill="1" applyBorder="1"/>
    <xf numFmtId="0" fontId="113" fillId="0" borderId="0" xfId="200" applyFont="1"/>
    <xf numFmtId="0" fontId="113" fillId="30" borderId="42" xfId="200" applyFont="1" applyFill="1" applyBorder="1"/>
    <xf numFmtId="0" fontId="37" fillId="0" borderId="0" xfId="200" applyFont="1"/>
    <xf numFmtId="0" fontId="37" fillId="0" borderId="0" xfId="200" applyFont="1" applyFill="1"/>
    <xf numFmtId="0" fontId="8" fillId="0" borderId="0" xfId="200" applyFont="1" applyFill="1"/>
    <xf numFmtId="0" fontId="37" fillId="0" borderId="0" xfId="200" applyFont="1" applyBorder="1"/>
    <xf numFmtId="0" fontId="8" fillId="0" borderId="69" xfId="200" applyFont="1" applyFill="1" applyBorder="1"/>
    <xf numFmtId="0" fontId="8" fillId="0" borderId="0" xfId="200" applyFont="1" applyBorder="1"/>
    <xf numFmtId="0" fontId="8" fillId="29" borderId="69" xfId="200" applyFont="1" applyFill="1" applyBorder="1"/>
    <xf numFmtId="0" fontId="8" fillId="0" borderId="70" xfId="200" applyFont="1" applyFill="1" applyBorder="1"/>
    <xf numFmtId="0" fontId="37" fillId="30" borderId="108" xfId="200" quotePrefix="1" applyFont="1" applyFill="1" applyBorder="1" applyAlignment="1">
      <alignment horizontal="center" vertical="center"/>
    </xf>
    <xf numFmtId="0" fontId="37" fillId="30" borderId="109" xfId="200" quotePrefix="1" applyFont="1" applyFill="1" applyBorder="1" applyAlignment="1">
      <alignment horizontal="center" vertical="center"/>
    </xf>
    <xf numFmtId="0" fontId="75" fillId="30" borderId="0" xfId="178" applyFont="1" applyFill="1" applyBorder="1" applyAlignment="1">
      <alignment horizontal="center" vertical="center" wrapText="1"/>
    </xf>
    <xf numFmtId="4" fontId="61" fillId="31" borderId="67" xfId="174" quotePrefix="1" applyNumberFormat="1" applyFont="1" applyFill="1" applyBorder="1" applyAlignment="1">
      <alignment horizontal="center" vertical="center" wrapText="1"/>
    </xf>
    <xf numFmtId="4" fontId="61" fillId="31" borderId="68" xfId="174" quotePrefix="1" applyNumberFormat="1" applyFont="1" applyFill="1" applyBorder="1" applyAlignment="1">
      <alignment horizontal="center" vertical="center" wrapText="1"/>
    </xf>
    <xf numFmtId="4" fontId="61" fillId="31" borderId="110" xfId="174" applyNumberFormat="1" applyFont="1" applyFill="1" applyBorder="1" applyAlignment="1">
      <alignment horizontal="center" vertical="center" wrapText="1"/>
    </xf>
    <xf numFmtId="49" fontId="70" fillId="30" borderId="36" xfId="159" applyNumberFormat="1" applyFont="1" applyFill="1" applyBorder="1" applyAlignment="1">
      <alignment horizontal="center" vertical="center" wrapText="1"/>
    </xf>
    <xf numFmtId="0" fontId="8" fillId="0" borderId="24" xfId="159" applyFont="1" applyBorder="1" applyAlignment="1">
      <alignment horizontal="center"/>
    </xf>
    <xf numFmtId="0" fontId="56" fillId="0" borderId="82" xfId="178" applyFont="1" applyFill="1" applyBorder="1" applyAlignment="1">
      <alignment vertical="center"/>
    </xf>
    <xf numFmtId="0" fontId="56" fillId="0" borderId="83" xfId="178" applyFont="1" applyFill="1" applyBorder="1" applyAlignment="1">
      <alignment vertical="center"/>
    </xf>
    <xf numFmtId="0" fontId="56" fillId="0" borderId="111" xfId="178" applyFont="1" applyFill="1" applyBorder="1" applyAlignment="1">
      <alignment vertical="center"/>
    </xf>
    <xf numFmtId="3" fontId="56" fillId="0" borderId="103" xfId="178" applyNumberFormat="1" applyFont="1" applyFill="1" applyBorder="1" applyAlignment="1">
      <alignment horizontal="center" vertical="center"/>
    </xf>
    <xf numFmtId="3" fontId="56" fillId="0" borderId="105" xfId="178" applyNumberFormat="1" applyFont="1" applyFill="1" applyBorder="1" applyAlignment="1">
      <alignment horizontal="center" vertical="center"/>
    </xf>
    <xf numFmtId="3" fontId="56" fillId="0" borderId="104" xfId="178" applyNumberFormat="1" applyFont="1" applyFill="1" applyBorder="1" applyAlignment="1">
      <alignment horizontal="center" vertical="center"/>
    </xf>
    <xf numFmtId="0" fontId="131" fillId="0" borderId="105" xfId="0" applyFont="1" applyBorder="1" applyAlignment="1">
      <alignment vertical="center"/>
    </xf>
    <xf numFmtId="0" fontId="131" fillId="0" borderId="112" xfId="0" applyFont="1" applyBorder="1" applyAlignment="1">
      <alignment vertical="center"/>
    </xf>
    <xf numFmtId="49" fontId="37" fillId="30" borderId="36" xfId="178" applyNumberFormat="1" applyFont="1" applyFill="1" applyBorder="1" applyAlignment="1">
      <alignment horizontal="center" vertical="center"/>
    </xf>
    <xf numFmtId="49" fontId="37" fillId="30" borderId="109" xfId="178" applyNumberFormat="1" applyFont="1" applyFill="1" applyBorder="1" applyAlignment="1">
      <alignment horizontal="center" vertical="center"/>
    </xf>
    <xf numFmtId="49" fontId="37" fillId="30" borderId="16" xfId="178" applyNumberFormat="1" applyFont="1" applyFill="1" applyBorder="1" applyAlignment="1">
      <alignment horizontal="center" vertical="center"/>
    </xf>
    <xf numFmtId="0" fontId="75" fillId="30" borderId="44" xfId="178" applyFont="1" applyFill="1" applyBorder="1" applyAlignment="1">
      <alignment horizontal="center" vertical="center" wrapText="1"/>
    </xf>
    <xf numFmtId="0" fontId="101" fillId="30" borderId="31" xfId="196" applyFont="1" applyFill="1" applyBorder="1" applyAlignment="1">
      <alignment horizontal="left" vertical="center" indent="1"/>
    </xf>
    <xf numFmtId="0" fontId="53" fillId="31" borderId="28" xfId="151" applyFont="1" applyFill="1" applyBorder="1" applyAlignment="1">
      <alignment horizontal="center" vertical="center"/>
    </xf>
    <xf numFmtId="0" fontId="53" fillId="31" borderId="28" xfId="151" applyFont="1" applyFill="1" applyBorder="1" applyAlignment="1">
      <alignment horizontal="left" vertical="center"/>
    </xf>
    <xf numFmtId="0" fontId="8" fillId="31" borderId="7" xfId="0" applyFont="1" applyFill="1" applyBorder="1" applyAlignment="1">
      <alignment horizontal="left" vertical="center" wrapText="1" indent="1"/>
    </xf>
    <xf numFmtId="0" fontId="5" fillId="31" borderId="7" xfId="0" applyFont="1" applyFill="1" applyBorder="1" applyAlignment="1">
      <alignment vertical="center"/>
    </xf>
    <xf numFmtId="49" fontId="5" fillId="31" borderId="7" xfId="0" applyNumberFormat="1" applyFont="1" applyFill="1" applyBorder="1" applyAlignment="1">
      <alignment horizontal="left" vertical="center" wrapText="1"/>
    </xf>
    <xf numFmtId="0" fontId="8" fillId="31" borderId="7" xfId="0" applyFont="1" applyFill="1" applyBorder="1" applyAlignment="1">
      <alignment horizontal="left" vertical="center" wrapText="1" indent="2"/>
    </xf>
    <xf numFmtId="0" fontId="5" fillId="31" borderId="7" xfId="0" applyFont="1" applyFill="1" applyBorder="1" applyAlignment="1">
      <alignment vertical="center" wrapText="1"/>
    </xf>
    <xf numFmtId="0" fontId="113" fillId="31" borderId="7" xfId="0" applyFont="1" applyFill="1" applyBorder="1" applyAlignment="1">
      <alignment horizontal="left" vertical="center" indent="1"/>
    </xf>
    <xf numFmtId="0" fontId="37" fillId="31" borderId="7" xfId="0" applyFont="1" applyFill="1" applyBorder="1" applyAlignment="1">
      <alignment horizontal="left" vertical="center" indent="1"/>
    </xf>
    <xf numFmtId="0" fontId="115" fillId="30" borderId="8" xfId="178" applyFont="1" applyFill="1" applyBorder="1" applyAlignment="1">
      <alignment horizontal="center" vertical="center" wrapText="1"/>
    </xf>
    <xf numFmtId="0" fontId="65" fillId="0" borderId="0" xfId="166" applyFont="1" applyFill="1" applyBorder="1" applyAlignment="1">
      <alignment horizontal="left" indent="2"/>
    </xf>
    <xf numFmtId="0" fontId="8" fillId="0" borderId="38" xfId="159" applyFont="1" applyFill="1" applyBorder="1" applyAlignment="1">
      <alignment horizontal="center"/>
    </xf>
    <xf numFmtId="0" fontId="71" fillId="30" borderId="30" xfId="175" applyFont="1" applyFill="1" applyBorder="1"/>
    <xf numFmtId="0" fontId="61" fillId="0" borderId="67" xfId="166" applyFont="1" applyFill="1" applyBorder="1" applyAlignment="1">
      <alignment horizontal="center" vertical="center" wrapText="1"/>
    </xf>
    <xf numFmtId="0" fontId="60" fillId="0" borderId="68" xfId="166" applyFont="1" applyFill="1" applyBorder="1" applyAlignment="1">
      <alignment horizontal="center" vertical="center" wrapText="1"/>
    </xf>
    <xf numFmtId="0" fontId="75" fillId="0" borderId="68" xfId="166" applyFont="1" applyFill="1" applyBorder="1" applyAlignment="1">
      <alignment horizontal="center" vertical="center" wrapText="1"/>
    </xf>
    <xf numFmtId="0" fontId="60" fillId="37" borderId="56" xfId="166" applyFont="1" applyFill="1" applyBorder="1" applyAlignment="1">
      <alignment horizontal="centerContinuous" vertical="center" wrapText="1"/>
    </xf>
    <xf numFmtId="0" fontId="60" fillId="37" borderId="46" xfId="166" applyFont="1" applyFill="1" applyBorder="1" applyAlignment="1">
      <alignment horizontal="centerContinuous" vertical="center"/>
    </xf>
    <xf numFmtId="0" fontId="60" fillId="37" borderId="44" xfId="166" applyFont="1" applyFill="1" applyBorder="1" applyAlignment="1">
      <alignment horizontal="center" vertical="center" wrapText="1"/>
    </xf>
    <xf numFmtId="0" fontId="60" fillId="37" borderId="40" xfId="166" applyFont="1" applyFill="1" applyBorder="1" applyAlignment="1">
      <alignment horizontal="center" vertical="center" wrapText="1"/>
    </xf>
    <xf numFmtId="0" fontId="60" fillId="37" borderId="55" xfId="166" applyFont="1" applyFill="1" applyBorder="1" applyAlignment="1">
      <alignment horizontal="centerContinuous" vertical="center" wrapText="1"/>
    </xf>
    <xf numFmtId="0" fontId="60" fillId="37" borderId="33" xfId="166" applyFont="1" applyFill="1" applyBorder="1" applyAlignment="1">
      <alignment horizontal="centerContinuous" vertical="center"/>
    </xf>
    <xf numFmtId="0" fontId="60" fillId="37" borderId="16" xfId="166" applyFont="1" applyFill="1" applyBorder="1" applyAlignment="1">
      <alignment horizontal="center" vertical="center" wrapText="1"/>
    </xf>
    <xf numFmtId="0" fontId="60" fillId="37" borderId="0" xfId="166" applyFont="1" applyFill="1" applyBorder="1" applyAlignment="1">
      <alignment horizontal="centerContinuous" vertical="center" wrapText="1"/>
    </xf>
    <xf numFmtId="0" fontId="60" fillId="37" borderId="28" xfId="166" applyFont="1" applyFill="1" applyBorder="1" applyAlignment="1">
      <alignment horizontal="center" vertical="center" wrapText="1"/>
    </xf>
    <xf numFmtId="0" fontId="53" fillId="0" borderId="110" xfId="0" applyFont="1" applyFill="1" applyBorder="1"/>
    <xf numFmtId="0" fontId="53" fillId="0" borderId="113" xfId="0" applyFont="1" applyFill="1" applyBorder="1"/>
    <xf numFmtId="10" fontId="56" fillId="31" borderId="116" xfId="187" applyNumberFormat="1" applyFont="1" applyFill="1" applyBorder="1" applyAlignment="1" applyProtection="1">
      <alignment horizontal="center" vertical="center" wrapText="1"/>
      <protection locked="0"/>
    </xf>
    <xf numFmtId="0" fontId="53" fillId="0" borderId="0" xfId="0" applyFont="1" applyFill="1" applyBorder="1"/>
    <xf numFmtId="0" fontId="78" fillId="30" borderId="16" xfId="0" applyFont="1" applyFill="1" applyBorder="1"/>
    <xf numFmtId="0" fontId="113" fillId="30" borderId="16" xfId="0" applyFont="1" applyFill="1" applyBorder="1" applyAlignment="1">
      <alignment vertical="center"/>
    </xf>
    <xf numFmtId="0" fontId="53" fillId="38" borderId="18" xfId="0" applyFont="1" applyFill="1" applyBorder="1"/>
    <xf numFmtId="0" fontId="53" fillId="38" borderId="19" xfId="0" applyFont="1" applyFill="1" applyBorder="1"/>
    <xf numFmtId="0" fontId="53" fillId="30" borderId="8" xfId="0" quotePrefix="1" applyFont="1" applyFill="1" applyBorder="1" applyAlignment="1">
      <alignment horizontal="center" vertical="center" wrapText="1"/>
    </xf>
    <xf numFmtId="0" fontId="53" fillId="30" borderId="23" xfId="0" quotePrefix="1" applyFont="1" applyFill="1" applyBorder="1" applyAlignment="1">
      <alignment horizontal="center" vertical="center" wrapText="1"/>
    </xf>
    <xf numFmtId="0" fontId="53" fillId="38" borderId="117" xfId="0" applyFont="1" applyFill="1" applyBorder="1"/>
    <xf numFmtId="49" fontId="53" fillId="30" borderId="36" xfId="0" applyNumberFormat="1" applyFont="1" applyFill="1" applyBorder="1" applyAlignment="1">
      <alignment horizontal="center" vertical="center" wrapText="1"/>
    </xf>
    <xf numFmtId="0" fontId="81" fillId="38" borderId="19" xfId="0" applyFont="1" applyFill="1" applyBorder="1" applyAlignment="1">
      <alignment horizontal="center"/>
    </xf>
    <xf numFmtId="0" fontId="53" fillId="38" borderId="21" xfId="0" applyFont="1" applyFill="1" applyBorder="1"/>
    <xf numFmtId="0" fontId="53" fillId="30" borderId="7" xfId="0" quotePrefix="1" applyFont="1" applyFill="1" applyBorder="1" applyAlignment="1">
      <alignment horizontal="center" vertical="center" wrapText="1"/>
    </xf>
    <xf numFmtId="0" fontId="53" fillId="38" borderId="88" xfId="0" applyFont="1" applyFill="1" applyBorder="1"/>
    <xf numFmtId="0" fontId="35" fillId="30" borderId="38" xfId="0" applyFont="1" applyFill="1" applyBorder="1" applyAlignment="1">
      <alignment horizontal="center" vertical="center"/>
    </xf>
    <xf numFmtId="0" fontId="113" fillId="30" borderId="8" xfId="0" applyFont="1" applyFill="1" applyBorder="1" applyAlignment="1">
      <alignment vertical="center"/>
    </xf>
    <xf numFmtId="0" fontId="113" fillId="30" borderId="36" xfId="0" applyFont="1" applyFill="1" applyBorder="1" applyAlignment="1">
      <alignment vertical="center"/>
    </xf>
    <xf numFmtId="0" fontId="113" fillId="30" borderId="55" xfId="0" applyFont="1" applyFill="1" applyBorder="1" applyAlignment="1">
      <alignment vertical="center"/>
    </xf>
    <xf numFmtId="0" fontId="36" fillId="31" borderId="28" xfId="151" applyFont="1" applyFill="1" applyBorder="1" applyAlignment="1">
      <alignment horizontal="center" vertical="center"/>
    </xf>
    <xf numFmtId="0" fontId="111" fillId="31" borderId="28" xfId="151" applyFont="1" applyFill="1" applyBorder="1" applyAlignment="1">
      <alignment horizontal="left" vertical="center" indent="1"/>
    </xf>
    <xf numFmtId="49" fontId="37" fillId="31" borderId="7" xfId="196" applyNumberFormat="1" applyFont="1" applyFill="1" applyBorder="1" applyAlignment="1">
      <alignment horizontal="left" vertical="center" wrapText="1" indent="1"/>
    </xf>
    <xf numFmtId="0" fontId="8" fillId="31" borderId="7" xfId="196" applyFont="1" applyFill="1" applyBorder="1" applyAlignment="1">
      <alignment horizontal="left" vertical="center" wrapText="1" indent="3"/>
    </xf>
    <xf numFmtId="0" fontId="8" fillId="31" borderId="100" xfId="196" applyFont="1" applyFill="1" applyBorder="1" applyAlignment="1">
      <alignment horizontal="right" vertical="top" wrapText="1"/>
    </xf>
    <xf numFmtId="0" fontId="35" fillId="31" borderId="12" xfId="0" applyFont="1" applyFill="1" applyBorder="1" applyAlignment="1">
      <alignment horizontal="left" vertical="center"/>
    </xf>
    <xf numFmtId="0" fontId="5" fillId="31" borderId="12" xfId="0" applyFont="1" applyFill="1" applyBorder="1" applyAlignment="1" applyProtection="1">
      <alignment horizontal="left" vertical="center" wrapText="1"/>
    </xf>
    <xf numFmtId="10" fontId="56" fillId="31" borderId="101" xfId="187" applyNumberFormat="1" applyFont="1" applyFill="1" applyBorder="1" applyAlignment="1" applyProtection="1">
      <alignment horizontal="center" vertical="center" wrapText="1"/>
      <protection locked="0"/>
    </xf>
    <xf numFmtId="0" fontId="53" fillId="31" borderId="19" xfId="0" applyFont="1" applyFill="1" applyBorder="1"/>
    <xf numFmtId="0" fontId="53" fillId="31" borderId="19" xfId="0" applyFont="1" applyFill="1" applyBorder="1" applyAlignment="1">
      <alignment wrapText="1"/>
    </xf>
    <xf numFmtId="0" fontId="53" fillId="31" borderId="88" xfId="0" applyFont="1" applyFill="1" applyBorder="1"/>
    <xf numFmtId="0" fontId="53" fillId="35" borderId="19" xfId="0" applyFont="1" applyFill="1" applyBorder="1"/>
    <xf numFmtId="0" fontId="56" fillId="28" borderId="18" xfId="176" applyFont="1" applyFill="1" applyBorder="1"/>
    <xf numFmtId="0" fontId="56" fillId="33" borderId="19" xfId="176" applyFont="1" applyFill="1" applyBorder="1" applyAlignment="1">
      <alignment vertical="center" wrapText="1"/>
    </xf>
    <xf numFmtId="0" fontId="56" fillId="33" borderId="130" xfId="176" applyFont="1" applyFill="1" applyBorder="1" applyAlignment="1">
      <alignment horizontal="center"/>
    </xf>
    <xf numFmtId="0" fontId="56" fillId="28" borderId="19" xfId="176" applyFont="1" applyFill="1" applyBorder="1"/>
    <xf numFmtId="0" fontId="56" fillId="28" borderId="25" xfId="176" applyFont="1" applyFill="1" applyBorder="1"/>
    <xf numFmtId="0" fontId="56" fillId="28" borderId="130" xfId="176" applyFont="1" applyFill="1" applyBorder="1"/>
    <xf numFmtId="0" fontId="56" fillId="28" borderId="114" xfId="176" applyFont="1" applyFill="1" applyBorder="1" applyAlignment="1">
      <alignment vertical="center" wrapText="1"/>
    </xf>
    <xf numFmtId="0" fontId="56" fillId="28" borderId="131" xfId="176" applyFont="1" applyFill="1" applyBorder="1" applyAlignment="1">
      <alignment horizontal="center"/>
    </xf>
    <xf numFmtId="0" fontId="56" fillId="0" borderId="0" xfId="176" applyFont="1" applyAlignment="1">
      <alignment horizontal="center"/>
    </xf>
    <xf numFmtId="0" fontId="0" fillId="0" borderId="0" xfId="0" applyAlignment="1">
      <alignment horizontal="center"/>
    </xf>
    <xf numFmtId="0" fontId="79" fillId="0" borderId="7" xfId="0" applyFont="1" applyBorder="1"/>
    <xf numFmtId="0" fontId="79" fillId="0" borderId="0" xfId="0" applyFont="1" applyBorder="1"/>
    <xf numFmtId="0" fontId="81" fillId="38" borderId="7" xfId="0" applyFont="1" applyFill="1" applyBorder="1"/>
    <xf numFmtId="0" fontId="54" fillId="38" borderId="7" xfId="0" applyFont="1" applyFill="1" applyBorder="1"/>
    <xf numFmtId="3" fontId="5" fillId="30" borderId="7" xfId="0" applyNumberFormat="1" applyFont="1" applyFill="1" applyBorder="1" applyAlignment="1">
      <alignment horizontal="center" vertical="center" wrapText="1"/>
    </xf>
    <xf numFmtId="0" fontId="53" fillId="30" borderId="50" xfId="0" applyFont="1" applyFill="1" applyBorder="1"/>
    <xf numFmtId="0" fontId="53" fillId="30" borderId="15" xfId="0" applyFont="1" applyFill="1" applyBorder="1"/>
    <xf numFmtId="0" fontId="113" fillId="30" borderId="17" xfId="0" applyFont="1" applyFill="1" applyBorder="1" applyAlignment="1">
      <alignment horizontal="center" vertical="center" wrapText="1"/>
    </xf>
    <xf numFmtId="0" fontId="113" fillId="30" borderId="36" xfId="0" applyFont="1" applyFill="1" applyBorder="1" applyAlignment="1">
      <alignment vertical="center" wrapText="1"/>
    </xf>
    <xf numFmtId="0" fontId="113" fillId="30" borderId="0" xfId="0" applyFont="1" applyFill="1" applyBorder="1" applyAlignment="1">
      <alignment horizontal="center" vertical="center" wrapText="1"/>
    </xf>
    <xf numFmtId="0" fontId="53" fillId="30" borderId="33" xfId="0" applyFont="1" applyFill="1" applyBorder="1"/>
    <xf numFmtId="0" fontId="37" fillId="30" borderId="7" xfId="151" applyFont="1" applyFill="1" applyBorder="1" applyAlignment="1">
      <alignment vertical="center" wrapText="1"/>
    </xf>
    <xf numFmtId="0" fontId="37" fillId="30" borderId="7" xfId="151" applyFont="1" applyFill="1" applyBorder="1" applyAlignment="1">
      <alignment horizontal="left" vertical="center" wrapText="1" indent="1"/>
    </xf>
    <xf numFmtId="0" fontId="37" fillId="30" borderId="7" xfId="151" applyFont="1" applyFill="1" applyBorder="1" applyAlignment="1">
      <alignment horizontal="left" vertical="center" wrapText="1" indent="2"/>
    </xf>
    <xf numFmtId="0" fontId="37" fillId="30" borderId="7" xfId="151" applyFont="1" applyFill="1" applyBorder="1" applyAlignment="1">
      <alignment horizontal="left" vertical="center" wrapText="1" indent="4"/>
    </xf>
    <xf numFmtId="0" fontId="5" fillId="30" borderId="7" xfId="176" applyFont="1" applyFill="1" applyBorder="1" applyAlignment="1">
      <alignment horizontal="center" vertical="center" wrapText="1"/>
    </xf>
    <xf numFmtId="165" fontId="8" fillId="30" borderId="7" xfId="176" applyNumberFormat="1" applyFont="1" applyFill="1" applyBorder="1" applyAlignment="1">
      <alignment horizontal="center" vertical="center"/>
    </xf>
    <xf numFmtId="165" fontId="8" fillId="30" borderId="41" xfId="176" applyNumberFormat="1" applyFont="1" applyFill="1" applyBorder="1" applyAlignment="1">
      <alignment horizontal="center" vertical="center"/>
    </xf>
    <xf numFmtId="0" fontId="5" fillId="30" borderId="14" xfId="176" applyFont="1" applyFill="1" applyBorder="1" applyAlignment="1">
      <alignment horizontal="center" vertical="center" wrapText="1"/>
    </xf>
    <xf numFmtId="0" fontId="5" fillId="30" borderId="27" xfId="176" applyFont="1" applyFill="1" applyBorder="1" applyAlignment="1">
      <alignment horizontal="center" vertical="center" wrapText="1"/>
    </xf>
    <xf numFmtId="0" fontId="5" fillId="30" borderId="41" xfId="176" applyFont="1" applyFill="1" applyBorder="1" applyAlignment="1">
      <alignment horizontal="center" vertical="center" wrapText="1"/>
    </xf>
    <xf numFmtId="49" fontId="8" fillId="30" borderId="7" xfId="176" applyNumberFormat="1" applyFont="1" applyFill="1" applyBorder="1" applyAlignment="1">
      <alignment horizontal="center" vertical="center"/>
    </xf>
    <xf numFmtId="49" fontId="8" fillId="30" borderId="41" xfId="176" applyNumberFormat="1" applyFont="1" applyFill="1" applyBorder="1" applyAlignment="1">
      <alignment horizontal="center" vertical="center"/>
    </xf>
    <xf numFmtId="0" fontId="56" fillId="30" borderId="7" xfId="176" applyFont="1" applyFill="1" applyBorder="1" applyAlignment="1">
      <alignment horizontal="left" vertical="center" wrapText="1" indent="1"/>
    </xf>
    <xf numFmtId="0" fontId="56" fillId="30" borderId="64" xfId="176" applyFont="1" applyFill="1" applyBorder="1" applyAlignment="1">
      <alignment horizontal="center" vertical="center" wrapText="1"/>
    </xf>
    <xf numFmtId="0" fontId="56" fillId="30" borderId="64" xfId="176" applyFont="1" applyFill="1" applyBorder="1" applyAlignment="1">
      <alignment horizontal="center" vertical="center"/>
    </xf>
    <xf numFmtId="0" fontId="56" fillId="30" borderId="115" xfId="176" applyFont="1" applyFill="1" applyBorder="1" applyAlignment="1">
      <alignment horizontal="center" vertical="center" wrapText="1"/>
    </xf>
    <xf numFmtId="0" fontId="56" fillId="30" borderId="12" xfId="176" applyFont="1" applyFill="1" applyBorder="1" applyAlignment="1">
      <alignment horizontal="left" vertical="center" wrapText="1" indent="1"/>
    </xf>
    <xf numFmtId="0" fontId="37" fillId="30" borderId="7" xfId="0" applyFont="1" applyFill="1" applyBorder="1" applyAlignment="1">
      <alignment horizontal="left" wrapText="1"/>
    </xf>
    <xf numFmtId="0" fontId="37" fillId="30" borderId="7" xfId="151" applyFont="1" applyFill="1" applyBorder="1" applyAlignment="1">
      <alignment horizontal="left" vertical="center" wrapText="1"/>
    </xf>
    <xf numFmtId="0" fontId="113" fillId="30" borderId="7" xfId="151" applyFont="1" applyFill="1" applyBorder="1" applyAlignment="1">
      <alignment horizontal="left" vertical="center" wrapText="1"/>
    </xf>
    <xf numFmtId="49" fontId="37" fillId="30" borderId="16" xfId="0" applyNumberFormat="1" applyFont="1" applyFill="1" applyBorder="1" applyAlignment="1">
      <alignment vertical="center" wrapText="1"/>
    </xf>
    <xf numFmtId="3" fontId="5" fillId="30" borderId="13" xfId="0" applyNumberFormat="1" applyFont="1" applyFill="1" applyBorder="1" applyAlignment="1">
      <alignment vertical="center" wrapText="1"/>
    </xf>
    <xf numFmtId="49" fontId="37" fillId="30" borderId="36" xfId="0" applyNumberFormat="1" applyFont="1" applyFill="1" applyBorder="1" applyAlignment="1">
      <alignment horizontal="left" vertical="center" wrapText="1"/>
    </xf>
    <xf numFmtId="0" fontId="5" fillId="30" borderId="7" xfId="0" applyFont="1" applyFill="1" applyBorder="1" applyAlignment="1">
      <alignment horizontal="left" vertical="center" wrapText="1"/>
    </xf>
    <xf numFmtId="0" fontId="8" fillId="30" borderId="7" xfId="0" applyFont="1" applyFill="1" applyBorder="1" applyAlignment="1">
      <alignment horizontal="left" vertical="center" wrapText="1"/>
    </xf>
    <xf numFmtId="49" fontId="37" fillId="30" borderId="24" xfId="0" applyNumberFormat="1" applyFont="1" applyFill="1" applyBorder="1" applyAlignment="1">
      <alignment horizontal="left" vertical="center" wrapText="1"/>
    </xf>
    <xf numFmtId="0" fontId="8" fillId="30" borderId="12" xfId="0" applyFont="1" applyFill="1" applyBorder="1" applyAlignment="1">
      <alignment horizontal="left" vertical="center" wrapText="1"/>
    </xf>
    <xf numFmtId="49" fontId="37" fillId="30" borderId="36" xfId="0" applyNumberFormat="1" applyFont="1" applyFill="1" applyBorder="1" applyAlignment="1">
      <alignment vertical="center" wrapText="1"/>
    </xf>
    <xf numFmtId="3" fontId="8" fillId="30" borderId="7" xfId="0" applyNumberFormat="1" applyFont="1" applyFill="1" applyBorder="1" applyAlignment="1">
      <alignment horizontal="left" vertical="center" wrapText="1" indent="3"/>
    </xf>
    <xf numFmtId="3" fontId="8" fillId="30" borderId="7" xfId="0" applyNumberFormat="1" applyFont="1" applyFill="1" applyBorder="1" applyAlignment="1">
      <alignment horizontal="left" vertical="center" wrapText="1" indent="4"/>
    </xf>
    <xf numFmtId="49" fontId="37" fillId="30" borderId="24" xfId="0" applyNumberFormat="1" applyFont="1" applyFill="1" applyBorder="1" applyAlignment="1">
      <alignment vertical="center" wrapText="1"/>
    </xf>
    <xf numFmtId="3" fontId="5" fillId="30" borderId="12" xfId="0" applyNumberFormat="1" applyFont="1" applyFill="1" applyBorder="1" applyAlignment="1">
      <alignment horizontal="left" vertical="center" wrapText="1" indent="2"/>
    </xf>
    <xf numFmtId="3" fontId="41" fillId="30" borderId="13" xfId="0" applyNumberFormat="1" applyFont="1" applyFill="1" applyBorder="1" applyAlignment="1">
      <alignment horizontal="left" vertical="center" wrapText="1"/>
    </xf>
    <xf numFmtId="3" fontId="5" fillId="30" borderId="7" xfId="0" applyNumberFormat="1" applyFont="1" applyFill="1" applyBorder="1" applyAlignment="1">
      <alignment horizontal="left" vertical="center" wrapText="1" indent="1"/>
    </xf>
    <xf numFmtId="3" fontId="5" fillId="30" borderId="7" xfId="0" applyNumberFormat="1" applyFont="1" applyFill="1" applyBorder="1" applyAlignment="1">
      <alignment horizontal="left" vertical="center" wrapText="1" indent="2"/>
    </xf>
    <xf numFmtId="49" fontId="37" fillId="30" borderId="36" xfId="0" quotePrefix="1" applyNumberFormat="1" applyFont="1" applyFill="1" applyBorder="1" applyAlignment="1">
      <alignment vertical="center" wrapText="1"/>
    </xf>
    <xf numFmtId="3" fontId="8" fillId="30" borderId="7" xfId="0" applyNumberFormat="1" applyFont="1" applyFill="1" applyBorder="1" applyAlignment="1">
      <alignment horizontal="left" vertical="center" wrapText="1" indent="2"/>
    </xf>
    <xf numFmtId="3" fontId="53" fillId="31" borderId="95" xfId="0" applyNumberFormat="1" applyFont="1" applyFill="1" applyBorder="1" applyAlignment="1">
      <alignment horizontal="center" vertical="center" wrapText="1"/>
    </xf>
    <xf numFmtId="3" fontId="53" fillId="32" borderId="72" xfId="0" applyNumberFormat="1" applyFont="1" applyFill="1" applyBorder="1" applyAlignment="1">
      <alignment horizontal="center" vertical="center" wrapText="1"/>
    </xf>
    <xf numFmtId="3" fontId="53" fillId="32" borderId="75" xfId="0" applyNumberFormat="1" applyFont="1" applyFill="1" applyBorder="1" applyAlignment="1">
      <alignment horizontal="center" vertical="center" wrapText="1"/>
    </xf>
    <xf numFmtId="0" fontId="121" fillId="0" borderId="0" xfId="151" applyFont="1" applyBorder="1" applyAlignment="1">
      <alignment horizontal="center" vertical="center" wrapText="1"/>
    </xf>
    <xf numFmtId="0" fontId="113" fillId="30" borderId="7" xfId="0" applyFont="1" applyFill="1" applyBorder="1" applyAlignment="1">
      <alignment horizontal="center" vertical="center" wrapText="1"/>
    </xf>
    <xf numFmtId="3" fontId="5" fillId="30" borderId="7" xfId="0" applyNumberFormat="1" applyFont="1" applyFill="1" applyBorder="1" applyAlignment="1">
      <alignment horizontal="left" vertical="center" wrapText="1" indent="3"/>
    </xf>
    <xf numFmtId="3" fontId="172" fillId="31" borderId="99" xfId="0" applyNumberFormat="1" applyFont="1" applyFill="1" applyBorder="1" applyAlignment="1">
      <alignment horizontal="center" vertical="center" wrapText="1"/>
    </xf>
    <xf numFmtId="0" fontId="53" fillId="31" borderId="20" xfId="0" applyFont="1" applyFill="1" applyBorder="1"/>
    <xf numFmtId="0" fontId="56" fillId="0" borderId="27" xfId="176" applyFont="1" applyFill="1" applyBorder="1" applyAlignment="1">
      <alignment horizontal="center"/>
    </xf>
    <xf numFmtId="0" fontId="56" fillId="0" borderId="19" xfId="176" applyFont="1" applyFill="1" applyBorder="1" applyAlignment="1">
      <alignment horizontal="center"/>
    </xf>
    <xf numFmtId="0" fontId="56" fillId="0" borderId="18" xfId="176" applyFont="1" applyFill="1" applyBorder="1" applyAlignment="1">
      <alignment horizontal="center"/>
    </xf>
    <xf numFmtId="0" fontId="56" fillId="0" borderId="28" xfId="176" applyFont="1" applyFill="1" applyBorder="1" applyAlignment="1">
      <alignment horizontal="center"/>
    </xf>
    <xf numFmtId="0" fontId="56" fillId="0" borderId="114" xfId="176" applyFont="1" applyFill="1" applyBorder="1" applyAlignment="1">
      <alignment horizontal="center"/>
    </xf>
    <xf numFmtId="0" fontId="56" fillId="0" borderId="19" xfId="176" applyFont="1" applyFill="1" applyBorder="1" applyAlignment="1">
      <alignment vertical="center" wrapText="1"/>
    </xf>
    <xf numFmtId="0" fontId="56" fillId="0" borderId="130" xfId="176" applyFont="1" applyFill="1" applyBorder="1" applyAlignment="1">
      <alignment horizontal="center"/>
    </xf>
    <xf numFmtId="0" fontId="56" fillId="0" borderId="115" xfId="176" applyFont="1" applyFill="1" applyBorder="1" applyAlignment="1">
      <alignment horizontal="center" vertical="center" wrapText="1"/>
    </xf>
    <xf numFmtId="0" fontId="56" fillId="0" borderId="101" xfId="176" applyFont="1" applyFill="1" applyBorder="1" applyAlignment="1">
      <alignment horizontal="center"/>
    </xf>
    <xf numFmtId="0" fontId="67" fillId="37" borderId="8" xfId="149" applyFont="1" applyFill="1" applyBorder="1" applyAlignment="1">
      <alignment horizontal="left" vertical="center" indent="3"/>
    </xf>
    <xf numFmtId="16" fontId="67" fillId="37" borderId="23" xfId="149" quotePrefix="1" applyNumberFormat="1" applyFont="1" applyFill="1" applyBorder="1" applyAlignment="1">
      <alignment horizontal="left" vertical="center" indent="2"/>
    </xf>
    <xf numFmtId="0" fontId="67" fillId="37" borderId="23" xfId="149" applyFont="1" applyFill="1" applyBorder="1" applyAlignment="1">
      <alignment horizontal="left" vertical="center" indent="2"/>
    </xf>
    <xf numFmtId="0" fontId="85" fillId="37" borderId="36" xfId="149" applyFont="1" applyFill="1" applyBorder="1" applyAlignment="1">
      <alignment horizontal="left" vertical="center" indent="2"/>
    </xf>
    <xf numFmtId="0" fontId="67" fillId="37" borderId="36" xfId="149" applyFont="1" applyFill="1" applyBorder="1" applyAlignment="1">
      <alignment horizontal="left" vertical="center" indent="2"/>
    </xf>
    <xf numFmtId="0" fontId="83" fillId="37" borderId="8" xfId="159" applyFont="1" applyFill="1" applyBorder="1" applyAlignment="1">
      <alignment vertical="center"/>
    </xf>
    <xf numFmtId="0" fontId="67" fillId="37" borderId="23" xfId="159" applyFont="1" applyFill="1" applyBorder="1" applyAlignment="1">
      <alignment vertical="center"/>
    </xf>
    <xf numFmtId="0" fontId="67" fillId="37" borderId="36" xfId="159" applyFont="1" applyFill="1" applyBorder="1" applyAlignment="1">
      <alignment vertical="center"/>
    </xf>
    <xf numFmtId="0" fontId="132" fillId="37" borderId="23" xfId="0" applyFont="1" applyFill="1" applyBorder="1" applyAlignment="1">
      <alignment vertical="center"/>
    </xf>
    <xf numFmtId="0" fontId="132" fillId="37" borderId="36" xfId="0" applyFont="1" applyFill="1" applyBorder="1" applyAlignment="1">
      <alignment vertical="center"/>
    </xf>
    <xf numFmtId="0" fontId="83" fillId="37" borderId="53" xfId="159" applyFont="1" applyFill="1" applyBorder="1" applyAlignment="1">
      <alignment vertical="center"/>
    </xf>
    <xf numFmtId="0" fontId="132" fillId="37" borderId="17" xfId="0" applyFont="1" applyFill="1" applyBorder="1" applyAlignment="1">
      <alignment vertical="center"/>
    </xf>
    <xf numFmtId="0" fontId="67" fillId="37" borderId="14" xfId="159" applyFont="1" applyFill="1" applyBorder="1" applyAlignment="1">
      <alignment vertical="center"/>
    </xf>
    <xf numFmtId="0" fontId="83" fillId="37" borderId="60" xfId="159" applyFont="1" applyFill="1" applyBorder="1" applyAlignment="1">
      <alignment vertical="center"/>
    </xf>
    <xf numFmtId="0" fontId="67" fillId="37" borderId="61" xfId="175" applyFont="1" applyFill="1" applyBorder="1" applyAlignment="1">
      <alignment horizontal="left" vertical="center"/>
    </xf>
    <xf numFmtId="0" fontId="56" fillId="37" borderId="61" xfId="175" applyFont="1" applyFill="1" applyBorder="1" applyAlignment="1">
      <alignment horizontal="left" vertical="center" wrapText="1"/>
    </xf>
    <xf numFmtId="0" fontId="56" fillId="37" borderId="24" xfId="159" applyFont="1" applyFill="1" applyBorder="1" applyAlignment="1">
      <alignment vertical="center"/>
    </xf>
    <xf numFmtId="0" fontId="81" fillId="0" borderId="7" xfId="0" applyFont="1" applyFill="1" applyBorder="1"/>
    <xf numFmtId="0" fontId="8" fillId="0" borderId="7" xfId="0" applyFont="1" applyFill="1" applyBorder="1"/>
    <xf numFmtId="0" fontId="54" fillId="0" borderId="7" xfId="0" applyFont="1" applyFill="1" applyBorder="1"/>
    <xf numFmtId="0" fontId="53" fillId="0" borderId="0" xfId="151" applyFont="1" applyBorder="1" applyAlignment="1">
      <alignment horizontal="center" vertical="center"/>
    </xf>
    <xf numFmtId="0" fontId="53" fillId="0" borderId="0" xfId="151" applyFont="1" applyBorder="1" applyAlignment="1">
      <alignment horizontal="left" vertical="center"/>
    </xf>
    <xf numFmtId="0" fontId="56" fillId="37" borderId="82" xfId="178" applyFont="1" applyFill="1" applyBorder="1" applyAlignment="1">
      <alignment horizontal="center" vertical="center"/>
    </xf>
    <xf numFmtId="0" fontId="78" fillId="30" borderId="8" xfId="151" applyFont="1" applyFill="1" applyBorder="1" applyAlignment="1">
      <alignment horizontal="center" vertical="center"/>
    </xf>
    <xf numFmtId="0" fontId="78" fillId="30" borderId="23" xfId="151" applyFont="1" applyFill="1" applyBorder="1" applyAlignment="1">
      <alignment horizontal="center" vertical="center"/>
    </xf>
    <xf numFmtId="0" fontId="0" fillId="30" borderId="23" xfId="0" applyFill="1" applyBorder="1"/>
    <xf numFmtId="0" fontId="0" fillId="30" borderId="36" xfId="0" applyFill="1" applyBorder="1"/>
    <xf numFmtId="0" fontId="57" fillId="30" borderId="30" xfId="0" applyFont="1" applyFill="1" applyBorder="1" applyAlignment="1">
      <alignment horizontal="left" vertical="center" wrapText="1" indent="2"/>
    </xf>
    <xf numFmtId="0" fontId="57" fillId="30" borderId="31" xfId="0" applyFont="1" applyFill="1" applyBorder="1" applyAlignment="1">
      <alignment horizontal="left" vertical="center" wrapText="1" indent="2"/>
    </xf>
    <xf numFmtId="0" fontId="57" fillId="30" borderId="32" xfId="0" applyFont="1" applyFill="1" applyBorder="1" applyAlignment="1">
      <alignment horizontal="left" vertical="center" wrapText="1" indent="2"/>
    </xf>
    <xf numFmtId="0" fontId="58" fillId="30" borderId="30" xfId="0" applyFont="1" applyFill="1" applyBorder="1" applyAlignment="1">
      <alignment horizontal="left" vertical="center" wrapText="1" indent="3"/>
    </xf>
    <xf numFmtId="0" fontId="58" fillId="30" borderId="31" xfId="0" applyFont="1" applyFill="1" applyBorder="1" applyAlignment="1">
      <alignment horizontal="left" vertical="center" wrapText="1" indent="3"/>
    </xf>
    <xf numFmtId="0" fontId="58" fillId="30" borderId="32" xfId="0" applyFont="1" applyFill="1" applyBorder="1" applyAlignment="1">
      <alignment horizontal="left" vertical="center" wrapText="1" indent="3"/>
    </xf>
    <xf numFmtId="0" fontId="58" fillId="30" borderId="30" xfId="0" applyFont="1" applyFill="1" applyBorder="1" applyAlignment="1">
      <alignment horizontal="left" vertical="center" indent="3"/>
    </xf>
    <xf numFmtId="0" fontId="58" fillId="30" borderId="31" xfId="0" applyFont="1" applyFill="1" applyBorder="1" applyAlignment="1">
      <alignment horizontal="left" vertical="center" indent="3"/>
    </xf>
    <xf numFmtId="0" fontId="58" fillId="30" borderId="32" xfId="0" applyFont="1" applyFill="1" applyBorder="1" applyAlignment="1">
      <alignment horizontal="left" vertical="center" indent="3"/>
    </xf>
    <xf numFmtId="0" fontId="60" fillId="30" borderId="30" xfId="0" applyFont="1" applyFill="1" applyBorder="1" applyAlignment="1">
      <alignment horizontal="left" vertical="center" wrapText="1" indent="3"/>
    </xf>
    <xf numFmtId="0" fontId="60" fillId="30" borderId="31" xfId="0" applyFont="1" applyFill="1" applyBorder="1" applyAlignment="1">
      <alignment horizontal="left" vertical="center" wrapText="1" indent="3"/>
    </xf>
    <xf numFmtId="0" fontId="60" fillId="30" borderId="32" xfId="0" applyFont="1" applyFill="1" applyBorder="1" applyAlignment="1">
      <alignment horizontal="left" vertical="center" wrapText="1" indent="3"/>
    </xf>
    <xf numFmtId="3" fontId="5" fillId="30" borderId="35" xfId="0" applyNumberFormat="1" applyFont="1" applyFill="1" applyBorder="1" applyAlignment="1">
      <alignment horizontal="left" vertical="center" wrapText="1"/>
    </xf>
    <xf numFmtId="3" fontId="5" fillId="30" borderId="40" xfId="0" applyNumberFormat="1" applyFont="1" applyFill="1" applyBorder="1" applyAlignment="1">
      <alignment horizontal="left" vertical="center" wrapText="1"/>
    </xf>
    <xf numFmtId="3" fontId="5" fillId="30" borderId="37" xfId="0" applyNumberFormat="1" applyFont="1" applyFill="1" applyBorder="1" applyAlignment="1">
      <alignment horizontal="left" vertical="center" wrapText="1"/>
    </xf>
    <xf numFmtId="3" fontId="5" fillId="30" borderId="7" xfId="0" applyNumberFormat="1" applyFont="1" applyFill="1" applyBorder="1" applyAlignment="1">
      <alignment horizontal="left" vertical="center" wrapText="1"/>
    </xf>
    <xf numFmtId="3" fontId="5" fillId="30" borderId="40" xfId="0" applyNumberFormat="1" applyFont="1" applyFill="1" applyBorder="1" applyAlignment="1">
      <alignment horizontal="center" vertical="center" wrapText="1"/>
    </xf>
    <xf numFmtId="3" fontId="5" fillId="30" borderId="7" xfId="0" applyNumberFormat="1" applyFont="1" applyFill="1" applyBorder="1" applyAlignment="1">
      <alignment horizontal="center" vertical="center" wrapText="1"/>
    </xf>
    <xf numFmtId="3" fontId="5" fillId="30" borderId="39" xfId="0" applyNumberFormat="1" applyFont="1" applyFill="1" applyBorder="1" applyAlignment="1">
      <alignment horizontal="center" vertical="center" wrapText="1"/>
    </xf>
    <xf numFmtId="0" fontId="5" fillId="30" borderId="35" xfId="0" applyFont="1" applyFill="1" applyBorder="1" applyAlignment="1">
      <alignment horizontal="center" vertical="center" wrapText="1"/>
    </xf>
    <xf numFmtId="0" fontId="5" fillId="30" borderId="40" xfId="0" applyFont="1" applyFill="1" applyBorder="1" applyAlignment="1">
      <alignment horizontal="center" vertical="center" wrapText="1"/>
    </xf>
    <xf numFmtId="0" fontId="75" fillId="30" borderId="27" xfId="178" applyFont="1" applyFill="1" applyBorder="1" applyAlignment="1">
      <alignment horizontal="center" vertical="center" wrapText="1"/>
    </xf>
    <xf numFmtId="0" fontId="75" fillId="30" borderId="28" xfId="178" applyFont="1" applyFill="1" applyBorder="1" applyAlignment="1">
      <alignment horizontal="center" vertical="center" wrapText="1"/>
    </xf>
    <xf numFmtId="0" fontId="75" fillId="30" borderId="13" xfId="178" applyFont="1" applyFill="1" applyBorder="1" applyAlignment="1">
      <alignment horizontal="center" vertical="center" wrapText="1"/>
    </xf>
    <xf numFmtId="0" fontId="60" fillId="30" borderId="30" xfId="178" applyFont="1" applyFill="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75" fillId="30" borderId="15" xfId="178" applyFont="1" applyFill="1" applyBorder="1" applyAlignment="1">
      <alignment horizontal="center" vertical="center" wrapText="1"/>
    </xf>
    <xf numFmtId="0" fontId="75" fillId="30" borderId="0" xfId="178" applyFont="1" applyFill="1" applyBorder="1" applyAlignment="1">
      <alignment horizontal="center" vertical="center" wrapText="1"/>
    </xf>
    <xf numFmtId="0" fontId="75" fillId="30" borderId="23" xfId="178" applyFont="1" applyFill="1" applyBorder="1" applyAlignment="1"/>
    <xf numFmtId="0" fontId="135" fillId="30" borderId="36" xfId="0" applyFont="1" applyFill="1" applyBorder="1" applyAlignment="1"/>
    <xf numFmtId="0" fontId="60" fillId="30" borderId="36" xfId="178" applyFont="1" applyFill="1" applyBorder="1" applyAlignment="1">
      <alignment horizontal="center" vertical="center"/>
    </xf>
    <xf numFmtId="0" fontId="60" fillId="30" borderId="7" xfId="178" applyFont="1" applyFill="1" applyBorder="1" applyAlignment="1">
      <alignment horizontal="center" vertical="center"/>
    </xf>
    <xf numFmtId="0" fontId="75" fillId="30" borderId="51" xfId="178" applyFont="1" applyFill="1" applyBorder="1" applyAlignment="1">
      <alignment horizontal="center" vertical="center"/>
    </xf>
    <xf numFmtId="0" fontId="75" fillId="30" borderId="52" xfId="178" applyFont="1" applyFill="1" applyBorder="1" applyAlignment="1">
      <alignment horizontal="center" vertical="center"/>
    </xf>
    <xf numFmtId="0" fontId="75" fillId="30" borderId="58" xfId="178" applyFont="1" applyFill="1" applyBorder="1" applyAlignment="1">
      <alignment horizontal="center" vertical="center"/>
    </xf>
    <xf numFmtId="0" fontId="75" fillId="30" borderId="46" xfId="178" applyFont="1" applyFill="1" applyBorder="1" applyAlignment="1">
      <alignment horizontal="center" vertical="center" wrapText="1"/>
    </xf>
    <xf numFmtId="0" fontId="75" fillId="30" borderId="45" xfId="178" applyFont="1" applyFill="1" applyBorder="1" applyAlignment="1">
      <alignment horizontal="center" vertical="center" wrapText="1"/>
    </xf>
    <xf numFmtId="0" fontId="75" fillId="30" borderId="56" xfId="178" applyFont="1" applyFill="1" applyBorder="1" applyAlignment="1">
      <alignment horizontal="center" vertical="center" wrapText="1"/>
    </xf>
    <xf numFmtId="0" fontId="135" fillId="30" borderId="46" xfId="0" applyFont="1" applyFill="1" applyBorder="1" applyAlignment="1"/>
    <xf numFmtId="0" fontId="135" fillId="30" borderId="47" xfId="0" applyFont="1" applyFill="1" applyBorder="1" applyAlignment="1"/>
    <xf numFmtId="0" fontId="75" fillId="30" borderId="0" xfId="178" applyFont="1" applyFill="1" applyBorder="1" applyAlignment="1"/>
    <xf numFmtId="0" fontId="135" fillId="30" borderId="0" xfId="0" applyFont="1" applyFill="1" applyBorder="1" applyAlignment="1"/>
    <xf numFmtId="0" fontId="135" fillId="30" borderId="26" xfId="0" applyFont="1" applyFill="1" applyBorder="1" applyAlignment="1"/>
    <xf numFmtId="0" fontId="75" fillId="30" borderId="59" xfId="178" applyFont="1" applyFill="1" applyBorder="1" applyAlignment="1">
      <alignment horizontal="center" vertical="center" wrapText="1"/>
    </xf>
    <xf numFmtId="0" fontId="75" fillId="30" borderId="116" xfId="178" applyFont="1" applyFill="1" applyBorder="1" applyAlignment="1">
      <alignment horizontal="center" vertical="center" wrapText="1"/>
    </xf>
    <xf numFmtId="0" fontId="75" fillId="30" borderId="57" xfId="178" applyFont="1" applyFill="1" applyBorder="1" applyAlignment="1">
      <alignment horizontal="center" vertical="center" wrapText="1"/>
    </xf>
    <xf numFmtId="0" fontId="135" fillId="30" borderId="28" xfId="0" applyFont="1" applyFill="1" applyBorder="1" applyAlignment="1">
      <alignment horizontal="center" vertical="center"/>
    </xf>
    <xf numFmtId="0" fontId="135" fillId="30" borderId="13" xfId="0" applyFont="1" applyFill="1" applyBorder="1" applyAlignment="1">
      <alignment horizontal="center" vertical="center"/>
    </xf>
    <xf numFmtId="0" fontId="60" fillId="30" borderId="31" xfId="178" applyFont="1" applyFill="1" applyBorder="1" applyAlignment="1">
      <alignment horizontal="center" vertical="center"/>
    </xf>
    <xf numFmtId="0" fontId="75" fillId="30" borderId="43" xfId="178" applyFont="1" applyFill="1" applyBorder="1" applyAlignment="1">
      <alignment horizontal="center" vertical="center" wrapText="1"/>
    </xf>
    <xf numFmtId="0" fontId="75" fillId="30" borderId="53" xfId="178" applyFont="1" applyFill="1" applyBorder="1" applyAlignment="1">
      <alignment horizontal="center" vertical="center" wrapText="1"/>
    </xf>
    <xf numFmtId="0" fontId="75" fillId="30" borderId="50" xfId="178" applyFont="1" applyFill="1" applyBorder="1" applyAlignment="1">
      <alignment horizontal="center" vertical="center" wrapText="1"/>
    </xf>
    <xf numFmtId="0" fontId="75" fillId="30" borderId="55" xfId="178" applyFont="1" applyFill="1" applyBorder="1" applyAlignment="1">
      <alignment horizontal="center" vertical="center" wrapText="1"/>
    </xf>
    <xf numFmtId="0" fontId="60" fillId="30" borderId="31" xfId="200" applyFont="1" applyFill="1" applyBorder="1" applyAlignment="1">
      <alignment horizontal="left" vertical="center" wrapText="1" indent="1"/>
    </xf>
    <xf numFmtId="0" fontId="60" fillId="30" borderId="32" xfId="200" applyFont="1" applyFill="1" applyBorder="1" applyAlignment="1">
      <alignment horizontal="left" vertical="center" wrapText="1" indent="1"/>
    </xf>
    <xf numFmtId="9" fontId="5" fillId="30" borderId="27" xfId="171" applyNumberFormat="1" applyFont="1" applyFill="1" applyBorder="1" applyAlignment="1">
      <alignment horizontal="center" vertical="center" wrapText="1"/>
    </xf>
    <xf numFmtId="9" fontId="5" fillId="30" borderId="28" xfId="171" applyNumberFormat="1" applyFont="1" applyFill="1" applyBorder="1" applyAlignment="1">
      <alignment horizontal="center" vertical="center" wrapText="1"/>
    </xf>
    <xf numFmtId="0" fontId="5" fillId="30" borderId="27" xfId="171" applyFont="1" applyFill="1" applyBorder="1" applyAlignment="1">
      <alignment horizontal="center" vertical="center" wrapText="1"/>
    </xf>
    <xf numFmtId="0" fontId="5" fillId="30" borderId="28" xfId="171" applyFont="1" applyFill="1" applyBorder="1" applyAlignment="1">
      <alignment horizontal="center" vertical="center" wrapText="1"/>
    </xf>
    <xf numFmtId="0" fontId="5" fillId="30" borderId="13" xfId="171" applyFont="1" applyFill="1" applyBorder="1" applyAlignment="1">
      <alignment horizontal="center" vertical="center" wrapText="1"/>
    </xf>
    <xf numFmtId="0" fontId="5" fillId="30" borderId="56" xfId="171" applyFont="1" applyFill="1" applyBorder="1" applyAlignment="1">
      <alignment horizontal="center" vertical="center" wrapText="1"/>
    </xf>
    <xf numFmtId="0" fontId="5" fillId="30" borderId="46" xfId="171" applyFont="1" applyFill="1" applyBorder="1" applyAlignment="1">
      <alignment horizontal="center" vertical="center" wrapText="1"/>
    </xf>
    <xf numFmtId="0" fontId="5" fillId="30" borderId="45" xfId="171" applyFont="1" applyFill="1" applyBorder="1" applyAlignment="1">
      <alignment horizontal="center" vertical="center" wrapText="1"/>
    </xf>
    <xf numFmtId="9" fontId="5" fillId="30" borderId="56" xfId="171" applyNumberFormat="1" applyFont="1" applyFill="1" applyBorder="1" applyAlignment="1">
      <alignment horizontal="center" vertical="center" wrapText="1"/>
    </xf>
    <xf numFmtId="9" fontId="5" fillId="30" borderId="7" xfId="171" applyNumberFormat="1" applyFont="1" applyFill="1" applyBorder="1" applyAlignment="1">
      <alignment horizontal="center" vertical="center" wrapText="1"/>
    </xf>
    <xf numFmtId="0" fontId="5" fillId="30" borderId="65" xfId="171" applyFont="1" applyFill="1" applyBorder="1" applyAlignment="1">
      <alignment horizontal="center" vertical="center" wrapText="1"/>
    </xf>
    <xf numFmtId="0" fontId="5" fillId="30" borderId="23" xfId="171" applyFont="1" applyFill="1" applyBorder="1" applyAlignment="1">
      <alignment horizontal="center" vertical="center" wrapText="1"/>
    </xf>
    <xf numFmtId="0" fontId="5" fillId="30" borderId="8" xfId="171" applyFont="1" applyFill="1" applyBorder="1" applyAlignment="1">
      <alignment horizontal="center" vertical="center" wrapText="1"/>
    </xf>
    <xf numFmtId="9" fontId="5" fillId="30" borderId="13" xfId="171" applyNumberFormat="1" applyFont="1" applyFill="1" applyBorder="1" applyAlignment="1">
      <alignment horizontal="center" vertical="center" wrapText="1"/>
    </xf>
    <xf numFmtId="0" fontId="64" fillId="0" borderId="8" xfId="171" applyFont="1" applyFill="1" applyBorder="1" applyAlignment="1">
      <alignment horizontal="center" vertical="center"/>
    </xf>
    <xf numFmtId="0" fontId="64" fillId="0" borderId="36" xfId="171" applyFont="1" applyFill="1" applyBorder="1" applyAlignment="1">
      <alignment horizontal="center" vertical="center"/>
    </xf>
    <xf numFmtId="0" fontId="60" fillId="30" borderId="30" xfId="200" applyFont="1" applyFill="1" applyBorder="1" applyAlignment="1">
      <alignment horizontal="center" vertical="center" wrapText="1"/>
    </xf>
    <xf numFmtId="0" fontId="60" fillId="30" borderId="31" xfId="200" applyFont="1" applyFill="1" applyBorder="1" applyAlignment="1">
      <alignment horizontal="center" vertical="center" wrapText="1"/>
    </xf>
    <xf numFmtId="0" fontId="60" fillId="30" borderId="32" xfId="200" applyFont="1" applyFill="1" applyBorder="1" applyAlignment="1">
      <alignment horizontal="center" vertical="center" wrapText="1"/>
    </xf>
    <xf numFmtId="0" fontId="5" fillId="30" borderId="63" xfId="171" applyFont="1" applyFill="1" applyBorder="1" applyAlignment="1">
      <alignment horizontal="center" vertical="center" wrapText="1"/>
    </xf>
    <xf numFmtId="9" fontId="5" fillId="27" borderId="64" xfId="171" applyNumberFormat="1" applyFont="1" applyFill="1" applyBorder="1" applyAlignment="1">
      <alignment horizontal="left" vertical="center" wrapText="1" indent="1"/>
    </xf>
    <xf numFmtId="9" fontId="5" fillId="27" borderId="23" xfId="171" applyNumberFormat="1" applyFont="1" applyFill="1" applyBorder="1" applyAlignment="1">
      <alignment horizontal="left" vertical="center" wrapText="1" indent="1"/>
    </xf>
    <xf numFmtId="9" fontId="5" fillId="27" borderId="49" xfId="171" applyNumberFormat="1" applyFont="1" applyFill="1" applyBorder="1" applyAlignment="1">
      <alignment horizontal="left" vertical="center" wrapText="1" indent="1"/>
    </xf>
    <xf numFmtId="9" fontId="5" fillId="0" borderId="64" xfId="171" applyNumberFormat="1" applyFont="1" applyFill="1" applyBorder="1" applyAlignment="1">
      <alignment horizontal="left" vertical="center" wrapText="1" indent="1"/>
    </xf>
    <xf numFmtId="0" fontId="131" fillId="0" borderId="23" xfId="0" applyFont="1" applyBorder="1" applyAlignment="1">
      <alignment horizontal="left" indent="1"/>
    </xf>
    <xf numFmtId="0" fontId="5" fillId="30" borderId="63" xfId="152" applyFont="1" applyFill="1" applyBorder="1" applyAlignment="1">
      <alignment horizontal="center" vertical="center" wrapText="1"/>
    </xf>
    <xf numFmtId="0" fontId="5" fillId="30" borderId="28" xfId="152" applyFont="1" applyFill="1" applyBorder="1" applyAlignment="1">
      <alignment horizontal="center" vertical="center" wrapText="1"/>
    </xf>
    <xf numFmtId="0" fontId="5" fillId="30" borderId="13" xfId="152" applyFont="1" applyFill="1" applyBorder="1" applyAlignment="1">
      <alignment horizontal="center" vertical="center" wrapText="1"/>
    </xf>
    <xf numFmtId="0" fontId="5" fillId="30" borderId="28" xfId="152" applyFont="1" applyFill="1" applyBorder="1"/>
    <xf numFmtId="0" fontId="5" fillId="30" borderId="13" xfId="152" applyFont="1" applyFill="1" applyBorder="1"/>
    <xf numFmtId="0" fontId="5" fillId="30" borderId="56" xfId="152" applyFont="1" applyFill="1" applyBorder="1" applyAlignment="1">
      <alignment horizontal="center" vertical="center" wrapText="1"/>
    </xf>
    <xf numFmtId="0" fontId="5" fillId="30" borderId="46" xfId="152" applyFont="1" applyFill="1" applyBorder="1" applyAlignment="1">
      <alignment horizontal="center" vertical="center" wrapText="1"/>
    </xf>
    <xf numFmtId="0" fontId="5" fillId="30" borderId="45" xfId="152" applyFont="1" applyFill="1" applyBorder="1" applyAlignment="1">
      <alignment horizontal="center" vertical="center" wrapText="1"/>
    </xf>
    <xf numFmtId="0" fontId="5" fillId="30" borderId="56" xfId="0" applyFont="1" applyFill="1" applyBorder="1" applyAlignment="1">
      <alignment horizontal="center" vertical="center" wrapText="1"/>
    </xf>
    <xf numFmtId="0" fontId="5" fillId="30" borderId="46" xfId="0" applyFont="1" applyFill="1" applyBorder="1"/>
    <xf numFmtId="0" fontId="5" fillId="30" borderId="44" xfId="0" applyFont="1" applyFill="1" applyBorder="1"/>
    <xf numFmtId="0" fontId="5" fillId="30" borderId="53" xfId="0" applyFont="1" applyFill="1" applyBorder="1" applyAlignment="1">
      <alignment horizontal="center" vertical="center" wrapText="1"/>
    </xf>
    <xf numFmtId="0" fontId="5" fillId="30" borderId="14" xfId="0" applyFont="1" applyFill="1" applyBorder="1" applyAlignment="1">
      <alignment horizontal="center" vertical="center" wrapText="1"/>
    </xf>
    <xf numFmtId="0" fontId="5" fillId="30" borderId="27" xfId="152" applyFont="1" applyFill="1" applyBorder="1" applyAlignment="1">
      <alignment horizontal="center" vertical="center" wrapText="1"/>
    </xf>
    <xf numFmtId="0" fontId="5" fillId="30" borderId="27" xfId="0" applyFont="1" applyFill="1" applyBorder="1" applyAlignment="1">
      <alignment horizontal="center" vertical="center" wrapText="1"/>
    </xf>
    <xf numFmtId="0" fontId="5" fillId="30" borderId="28" xfId="0" applyFont="1" applyFill="1" applyBorder="1" applyAlignment="1">
      <alignment horizontal="center" vertical="center" wrapText="1"/>
    </xf>
    <xf numFmtId="0" fontId="5" fillId="30" borderId="8" xfId="152" applyFont="1" applyFill="1" applyBorder="1" applyAlignment="1">
      <alignment horizontal="center" vertical="center" wrapText="1"/>
    </xf>
    <xf numFmtId="0" fontId="5" fillId="30" borderId="23" xfId="152" applyFont="1" applyFill="1" applyBorder="1" applyAlignment="1">
      <alignment horizontal="center" vertical="center" wrapText="1"/>
    </xf>
    <xf numFmtId="9" fontId="5" fillId="31" borderId="64" xfId="172" applyNumberFormat="1" applyFont="1" applyFill="1" applyBorder="1" applyAlignment="1">
      <alignment horizontal="left" vertical="center" wrapText="1" indent="1"/>
    </xf>
    <xf numFmtId="9" fontId="5" fillId="31" borderId="23" xfId="172" applyNumberFormat="1" applyFont="1" applyFill="1" applyBorder="1" applyAlignment="1">
      <alignment horizontal="left" vertical="center" wrapText="1" indent="1"/>
    </xf>
    <xf numFmtId="9" fontId="5" fillId="31" borderId="49" xfId="172" applyNumberFormat="1" applyFont="1" applyFill="1" applyBorder="1" applyAlignment="1">
      <alignment horizontal="left" vertical="center" wrapText="1" indent="1"/>
    </xf>
    <xf numFmtId="0" fontId="5" fillId="30" borderId="59" xfId="171" applyFont="1" applyFill="1" applyBorder="1" applyAlignment="1">
      <alignment horizontal="center" vertical="center" wrapText="1"/>
    </xf>
    <xf numFmtId="0" fontId="5" fillId="30" borderId="116" xfId="171" applyFont="1" applyFill="1" applyBorder="1" applyAlignment="1">
      <alignment horizontal="center" vertical="center" wrapText="1"/>
    </xf>
    <xf numFmtId="0" fontId="5" fillId="30" borderId="57" xfId="171" applyFont="1" applyFill="1" applyBorder="1" applyAlignment="1">
      <alignment horizontal="center" vertical="center" wrapText="1"/>
    </xf>
    <xf numFmtId="0" fontId="5" fillId="30" borderId="53" xfId="152" applyFont="1" applyFill="1" applyBorder="1" applyAlignment="1">
      <alignment horizontal="center" vertical="center" wrapText="1"/>
    </xf>
    <xf numFmtId="0" fontId="5" fillId="30" borderId="50" xfId="152" applyFont="1" applyFill="1" applyBorder="1" applyAlignment="1">
      <alignment horizontal="center" vertical="center" wrapText="1"/>
    </xf>
    <xf numFmtId="0" fontId="5" fillId="30" borderId="36" xfId="152" applyFont="1" applyFill="1" applyBorder="1" applyAlignment="1">
      <alignment horizontal="center" vertical="center" wrapText="1"/>
    </xf>
    <xf numFmtId="0" fontId="5" fillId="30" borderId="13" xfId="0" applyFont="1" applyFill="1" applyBorder="1" applyAlignment="1">
      <alignment horizontal="center" vertical="center" wrapText="1"/>
    </xf>
    <xf numFmtId="0" fontId="60" fillId="30" borderId="43" xfId="166" applyFont="1" applyFill="1" applyBorder="1" applyAlignment="1">
      <alignment horizontal="center" vertical="center" wrapText="1"/>
    </xf>
    <xf numFmtId="0" fontId="5" fillId="30" borderId="44" xfId="166" applyFont="1" applyFill="1" applyBorder="1" applyAlignment="1">
      <alignment horizontal="center" vertical="center" wrapText="1"/>
    </xf>
    <xf numFmtId="0" fontId="60" fillId="30" borderId="33" xfId="166" applyFont="1" applyFill="1" applyBorder="1" applyAlignment="1">
      <alignment horizontal="center" vertical="center" wrapText="1"/>
    </xf>
    <xf numFmtId="0" fontId="5" fillId="30" borderId="16" xfId="166" applyFont="1" applyFill="1" applyBorder="1" applyAlignment="1">
      <alignment horizontal="center" vertical="center" wrapText="1"/>
    </xf>
    <xf numFmtId="0" fontId="60" fillId="30" borderId="56" xfId="166" applyFont="1" applyFill="1" applyBorder="1" applyAlignment="1">
      <alignment horizontal="center" vertical="center" wrapText="1"/>
    </xf>
    <xf numFmtId="0" fontId="60" fillId="30" borderId="46" xfId="166" applyFont="1" applyFill="1" applyBorder="1" applyAlignment="1">
      <alignment horizontal="center" vertical="center" wrapText="1"/>
    </xf>
    <xf numFmtId="0" fontId="60" fillId="30" borderId="27" xfId="166" applyFont="1" applyFill="1" applyBorder="1" applyAlignment="1">
      <alignment horizontal="center" vertical="center" wrapText="1"/>
    </xf>
    <xf numFmtId="0" fontId="60" fillId="30" borderId="28" xfId="166" applyFont="1" applyFill="1" applyBorder="1" applyAlignment="1">
      <alignment horizontal="center" vertical="center" wrapText="1"/>
    </xf>
    <xf numFmtId="0" fontId="60" fillId="30" borderId="13" xfId="166" applyFont="1" applyFill="1" applyBorder="1" applyAlignment="1">
      <alignment horizontal="center" vertical="center" wrapText="1"/>
    </xf>
    <xf numFmtId="0" fontId="60" fillId="30" borderId="63" xfId="166" applyFont="1" applyFill="1" applyBorder="1" applyAlignment="1">
      <alignment horizontal="center" vertical="center" wrapText="1"/>
    </xf>
    <xf numFmtId="0" fontId="8" fillId="30" borderId="51" xfId="166" applyFont="1" applyFill="1" applyBorder="1" applyAlignment="1">
      <alignment horizontal="center"/>
    </xf>
    <xf numFmtId="0" fontId="8" fillId="30" borderId="44" xfId="166" applyFont="1" applyFill="1" applyBorder="1" applyAlignment="1">
      <alignment horizontal="center"/>
    </xf>
    <xf numFmtId="0" fontId="8" fillId="30" borderId="52" xfId="166" applyFont="1" applyFill="1" applyBorder="1" applyAlignment="1">
      <alignment horizontal="center"/>
    </xf>
    <xf numFmtId="0" fontId="8" fillId="30" borderId="15" xfId="166" applyFont="1" applyFill="1" applyBorder="1" applyAlignment="1">
      <alignment horizontal="center"/>
    </xf>
    <xf numFmtId="0" fontId="8" fillId="30" borderId="58" xfId="166" applyFont="1" applyFill="1" applyBorder="1" applyAlignment="1">
      <alignment horizontal="center"/>
    </xf>
    <xf numFmtId="0" fontId="8" fillId="30" borderId="16" xfId="166" applyFont="1" applyFill="1" applyBorder="1" applyAlignment="1">
      <alignment horizontal="center"/>
    </xf>
    <xf numFmtId="0" fontId="60" fillId="30" borderId="65" xfId="166" applyFont="1" applyFill="1" applyBorder="1" applyAlignment="1">
      <alignment horizontal="center" vertical="center" wrapText="1"/>
    </xf>
    <xf numFmtId="0" fontId="60" fillId="30" borderId="50" xfId="166" applyFont="1" applyFill="1" applyBorder="1" applyAlignment="1">
      <alignment horizontal="center" vertical="center" wrapText="1"/>
    </xf>
    <xf numFmtId="0" fontId="5" fillId="30" borderId="15" xfId="166" applyFont="1" applyFill="1" applyBorder="1" applyAlignment="1">
      <alignment horizontal="center" vertical="center" wrapText="1"/>
    </xf>
    <xf numFmtId="0" fontId="60" fillId="30" borderId="8" xfId="166" applyFont="1" applyFill="1" applyBorder="1" applyAlignment="1">
      <alignment horizontal="center" vertical="center" wrapText="1"/>
    </xf>
    <xf numFmtId="0" fontId="60" fillId="30" borderId="36" xfId="166" applyFont="1" applyFill="1" applyBorder="1" applyAlignment="1">
      <alignment horizontal="center" vertical="center" wrapText="1"/>
    </xf>
    <xf numFmtId="0" fontId="5" fillId="30" borderId="28" xfId="166" applyFont="1" applyFill="1" applyBorder="1" applyAlignment="1">
      <alignment vertical="center" wrapText="1"/>
    </xf>
    <xf numFmtId="0" fontId="5" fillId="30" borderId="13" xfId="166" applyFont="1" applyFill="1" applyBorder="1" applyAlignment="1">
      <alignment vertical="center" wrapText="1"/>
    </xf>
    <xf numFmtId="0" fontId="60" fillId="30" borderId="59" xfId="166" applyFont="1" applyFill="1" applyBorder="1" applyAlignment="1">
      <alignment horizontal="center" vertical="center" wrapText="1"/>
    </xf>
    <xf numFmtId="0" fontId="60" fillId="30" borderId="116" xfId="166" applyFont="1" applyFill="1" applyBorder="1" applyAlignment="1">
      <alignment horizontal="center" vertical="center" wrapText="1"/>
    </xf>
    <xf numFmtId="0" fontId="60" fillId="30" borderId="36" xfId="166" applyFont="1" applyFill="1" applyBorder="1"/>
    <xf numFmtId="0" fontId="60" fillId="30" borderId="23" xfId="166" applyFont="1" applyFill="1" applyBorder="1" applyAlignment="1">
      <alignment horizontal="center" vertical="center" wrapText="1"/>
    </xf>
    <xf numFmtId="0" fontId="65" fillId="0" borderId="23" xfId="173" applyFont="1" applyFill="1" applyBorder="1" applyAlignment="1">
      <alignment horizontal="left" vertical="center" wrapText="1"/>
    </xf>
    <xf numFmtId="0" fontId="131" fillId="0" borderId="23" xfId="173" applyFont="1" applyFill="1" applyBorder="1" applyAlignment="1">
      <alignment horizontal="left" vertical="center" wrapText="1"/>
    </xf>
    <xf numFmtId="0" fontId="65" fillId="0" borderId="49" xfId="173" applyFont="1" applyFill="1" applyBorder="1" applyAlignment="1">
      <alignment horizontal="left" vertical="center" wrapText="1"/>
    </xf>
    <xf numFmtId="0" fontId="60" fillId="30" borderId="53" xfId="166" applyFont="1" applyFill="1" applyBorder="1" applyAlignment="1">
      <alignment horizontal="center" vertical="center" wrapText="1"/>
    </xf>
    <xf numFmtId="0" fontId="60" fillId="30" borderId="55" xfId="166" applyFont="1" applyFill="1" applyBorder="1" applyAlignment="1">
      <alignment horizontal="center" vertical="center" wrapText="1"/>
    </xf>
    <xf numFmtId="0" fontId="5" fillId="30" borderId="28" xfId="166" applyFont="1" applyFill="1" applyBorder="1" applyAlignment="1">
      <alignment horizontal="center" vertical="center" wrapText="1"/>
    </xf>
    <xf numFmtId="0" fontId="5" fillId="30" borderId="13" xfId="166" applyFont="1" applyFill="1" applyBorder="1" applyAlignment="1">
      <alignment horizontal="center" vertical="center" wrapText="1"/>
    </xf>
    <xf numFmtId="0" fontId="5" fillId="30" borderId="50" xfId="166" applyFont="1" applyFill="1" applyBorder="1" applyAlignment="1">
      <alignment horizontal="center" vertical="center" wrapText="1"/>
    </xf>
    <xf numFmtId="0" fontId="5" fillId="30" borderId="46" xfId="166" applyFont="1" applyFill="1" applyBorder="1" applyAlignment="1">
      <alignment horizontal="center" vertical="center" wrapText="1"/>
    </xf>
    <xf numFmtId="0" fontId="5" fillId="30" borderId="47" xfId="166" applyFont="1" applyFill="1" applyBorder="1" applyAlignment="1">
      <alignment horizontal="center" vertical="center" wrapText="1"/>
    </xf>
    <xf numFmtId="0" fontId="60" fillId="37" borderId="63" xfId="166" applyFont="1" applyFill="1" applyBorder="1" applyAlignment="1">
      <alignment horizontal="center" vertical="center" wrapText="1"/>
    </xf>
    <xf numFmtId="0" fontId="60" fillId="37" borderId="28" xfId="166" applyFont="1" applyFill="1" applyBorder="1" applyAlignment="1">
      <alignment horizontal="center" vertical="center" wrapText="1"/>
    </xf>
    <xf numFmtId="0" fontId="0" fillId="37" borderId="28" xfId="0" applyFill="1" applyBorder="1" applyAlignment="1">
      <alignment horizontal="center" vertical="center" wrapText="1"/>
    </xf>
    <xf numFmtId="0" fontId="60" fillId="37" borderId="13" xfId="166" applyFont="1" applyFill="1" applyBorder="1" applyAlignment="1">
      <alignment horizontal="center" vertical="center" wrapText="1"/>
    </xf>
    <xf numFmtId="0" fontId="60" fillId="37" borderId="65" xfId="166" applyFont="1" applyFill="1" applyBorder="1" applyAlignment="1">
      <alignment horizontal="center" vertical="center" wrapText="1"/>
    </xf>
    <xf numFmtId="0" fontId="60" fillId="37" borderId="50" xfId="166" applyFont="1" applyFill="1" applyBorder="1" applyAlignment="1">
      <alignment horizontal="center" vertical="center" wrapText="1"/>
    </xf>
    <xf numFmtId="0" fontId="60" fillId="37" borderId="8" xfId="166" applyFont="1" applyFill="1" applyBorder="1" applyAlignment="1">
      <alignment horizontal="center" vertical="center" wrapText="1"/>
    </xf>
    <xf numFmtId="0" fontId="60" fillId="37" borderId="36" xfId="166" applyFont="1" applyFill="1" applyBorder="1" applyAlignment="1">
      <alignment horizontal="center" vertical="center" wrapText="1"/>
    </xf>
    <xf numFmtId="0" fontId="60" fillId="37" borderId="27" xfId="166" applyFont="1" applyFill="1" applyBorder="1" applyAlignment="1">
      <alignment horizontal="center" vertical="center" wrapText="1"/>
    </xf>
    <xf numFmtId="0" fontId="5" fillId="37" borderId="44" xfId="166" applyFont="1" applyFill="1" applyBorder="1" applyAlignment="1">
      <alignment horizontal="center" vertical="center" wrapText="1"/>
    </xf>
    <xf numFmtId="0" fontId="5" fillId="37" borderId="15" xfId="166" applyFont="1" applyFill="1" applyBorder="1" applyAlignment="1">
      <alignment horizontal="center" vertical="center" wrapText="1"/>
    </xf>
    <xf numFmtId="0" fontId="60" fillId="37" borderId="53" xfId="166" applyFont="1" applyFill="1" applyBorder="1" applyAlignment="1">
      <alignment horizontal="center" vertical="center"/>
    </xf>
    <xf numFmtId="0" fontId="60" fillId="37" borderId="55" xfId="166" applyFont="1" applyFill="1" applyBorder="1" applyAlignment="1">
      <alignment horizontal="center" vertical="center"/>
    </xf>
    <xf numFmtId="0" fontId="60" fillId="37" borderId="36" xfId="166" applyFont="1" applyFill="1" applyBorder="1"/>
    <xf numFmtId="0" fontId="5" fillId="37" borderId="50" xfId="166" applyFont="1" applyFill="1" applyBorder="1" applyAlignment="1">
      <alignment horizontal="center" vertical="center" wrapText="1"/>
    </xf>
    <xf numFmtId="0" fontId="5" fillId="37" borderId="28" xfId="166" applyFont="1" applyFill="1" applyBorder="1" applyAlignment="1">
      <alignment horizontal="center" vertical="center" wrapText="1"/>
    </xf>
    <xf numFmtId="0" fontId="5" fillId="37" borderId="13" xfId="166" applyFont="1" applyFill="1" applyBorder="1" applyAlignment="1">
      <alignment horizontal="center" vertical="center" wrapText="1"/>
    </xf>
    <xf numFmtId="0" fontId="62" fillId="30" borderId="8" xfId="166" applyFont="1" applyFill="1" applyBorder="1" applyAlignment="1">
      <alignment horizontal="center" vertical="center" wrapText="1"/>
    </xf>
    <xf numFmtId="0" fontId="62" fillId="30" borderId="23" xfId="166" applyFont="1" applyFill="1" applyBorder="1" applyAlignment="1">
      <alignment horizontal="center" vertical="center" wrapText="1"/>
    </xf>
    <xf numFmtId="0" fontId="60" fillId="37" borderId="56" xfId="166" applyFont="1" applyFill="1" applyBorder="1" applyAlignment="1">
      <alignment horizontal="center" vertical="center" wrapText="1"/>
    </xf>
    <xf numFmtId="0" fontId="60" fillId="37" borderId="46" xfId="166" applyFont="1" applyFill="1" applyBorder="1" applyAlignment="1">
      <alignment horizontal="center" vertical="center" wrapText="1"/>
    </xf>
    <xf numFmtId="0" fontId="5" fillId="37" borderId="28" xfId="166" applyFont="1" applyFill="1" applyBorder="1" applyAlignment="1">
      <alignment vertical="center" wrapText="1"/>
    </xf>
    <xf numFmtId="0" fontId="5" fillId="37" borderId="13" xfId="166" applyFont="1" applyFill="1" applyBorder="1" applyAlignment="1">
      <alignment vertical="center" wrapText="1"/>
    </xf>
    <xf numFmtId="0" fontId="60" fillId="37" borderId="53" xfId="166" applyFont="1" applyFill="1" applyBorder="1" applyAlignment="1">
      <alignment horizontal="center" vertical="center" wrapText="1"/>
    </xf>
    <xf numFmtId="0" fontId="60" fillId="37" borderId="55" xfId="166" applyFont="1" applyFill="1" applyBorder="1" applyAlignment="1">
      <alignment horizontal="center" vertical="center" wrapText="1"/>
    </xf>
    <xf numFmtId="0" fontId="5" fillId="37" borderId="46" xfId="166" applyFont="1" applyFill="1" applyBorder="1" applyAlignment="1">
      <alignment horizontal="center" vertical="center" wrapText="1"/>
    </xf>
    <xf numFmtId="0" fontId="5" fillId="37" borderId="47" xfId="166" applyFont="1" applyFill="1" applyBorder="1" applyAlignment="1">
      <alignment horizontal="center" vertical="center" wrapText="1"/>
    </xf>
    <xf numFmtId="0" fontId="60" fillId="37" borderId="59" xfId="166" applyFont="1" applyFill="1" applyBorder="1" applyAlignment="1">
      <alignment horizontal="center" vertical="center" wrapText="1"/>
    </xf>
    <xf numFmtId="0" fontId="60" fillId="37" borderId="116" xfId="166" applyFont="1" applyFill="1" applyBorder="1" applyAlignment="1">
      <alignment horizontal="center" vertical="center" wrapText="1"/>
    </xf>
    <xf numFmtId="0" fontId="60" fillId="37" borderId="23" xfId="166" applyFont="1" applyFill="1" applyBorder="1" applyAlignment="1">
      <alignment horizontal="center" vertical="center" wrapText="1"/>
    </xf>
    <xf numFmtId="0" fontId="0" fillId="0" borderId="23" xfId="0" applyBorder="1" applyAlignment="1">
      <alignment vertical="center" wrapText="1"/>
    </xf>
    <xf numFmtId="0" fontId="0" fillId="0" borderId="36" xfId="0" applyBorder="1" applyAlignment="1">
      <alignment vertical="center" wrapText="1"/>
    </xf>
    <xf numFmtId="0" fontId="60" fillId="37" borderId="43" xfId="166" applyFont="1" applyFill="1" applyBorder="1" applyAlignment="1">
      <alignment horizontal="center" vertical="center" wrapText="1"/>
    </xf>
    <xf numFmtId="0" fontId="60" fillId="37" borderId="33" xfId="166" applyFont="1" applyFill="1" applyBorder="1" applyAlignment="1">
      <alignment horizontal="center" vertical="center" wrapText="1"/>
    </xf>
    <xf numFmtId="0" fontId="5" fillId="37" borderId="16" xfId="166" applyFont="1" applyFill="1" applyBorder="1" applyAlignment="1">
      <alignment horizontal="center" vertical="center" wrapText="1"/>
    </xf>
    <xf numFmtId="0" fontId="57" fillId="30" borderId="30" xfId="0" applyFont="1" applyFill="1" applyBorder="1" applyAlignment="1">
      <alignment horizontal="left" vertical="center" indent="3"/>
    </xf>
    <xf numFmtId="0" fontId="57" fillId="30" borderId="31" xfId="0" applyFont="1" applyFill="1" applyBorder="1" applyAlignment="1">
      <alignment horizontal="left" vertical="center" indent="3"/>
    </xf>
    <xf numFmtId="0" fontId="57" fillId="30" borderId="32" xfId="0" applyFont="1" applyFill="1" applyBorder="1" applyAlignment="1">
      <alignment horizontal="left" vertical="center" indent="3"/>
    </xf>
    <xf numFmtId="0" fontId="57" fillId="30" borderId="30" xfId="0" applyFont="1" applyFill="1" applyBorder="1" applyAlignment="1">
      <alignment horizontal="left" vertical="center" wrapText="1" indent="3"/>
    </xf>
    <xf numFmtId="0" fontId="57" fillId="30" borderId="31" xfId="0" applyFont="1" applyFill="1" applyBorder="1" applyAlignment="1">
      <alignment horizontal="left" vertical="center" wrapText="1" indent="3"/>
    </xf>
    <xf numFmtId="0" fontId="57" fillId="30" borderId="32" xfId="0" applyFont="1" applyFill="1" applyBorder="1" applyAlignment="1">
      <alignment horizontal="left" vertical="center" wrapText="1" indent="3"/>
    </xf>
    <xf numFmtId="0" fontId="57" fillId="0" borderId="8" xfId="174" applyFont="1" applyFill="1" applyBorder="1" applyAlignment="1">
      <alignment horizontal="left" vertical="center" wrapText="1"/>
    </xf>
    <xf numFmtId="0" fontId="57" fillId="0" borderId="23" xfId="174" applyFont="1" applyFill="1" applyBorder="1" applyAlignment="1">
      <alignment horizontal="left" vertical="center" wrapText="1"/>
    </xf>
    <xf numFmtId="0" fontId="57" fillId="0" borderId="49" xfId="174" applyFont="1" applyFill="1" applyBorder="1" applyAlignment="1">
      <alignment horizontal="left" vertical="center" wrapText="1"/>
    </xf>
    <xf numFmtId="0" fontId="93" fillId="30" borderId="30" xfId="179" applyFont="1" applyFill="1" applyBorder="1" applyAlignment="1">
      <alignment horizontal="left" vertical="center" indent="1"/>
    </xf>
    <xf numFmtId="0" fontId="93" fillId="30" borderId="31" xfId="179" applyFont="1" applyFill="1" applyBorder="1" applyAlignment="1">
      <alignment horizontal="left" vertical="center" indent="1"/>
    </xf>
    <xf numFmtId="0" fontId="93" fillId="30" borderId="32" xfId="179" applyFont="1" applyFill="1" applyBorder="1" applyAlignment="1">
      <alignment horizontal="left" vertical="center" indent="1"/>
    </xf>
    <xf numFmtId="0" fontId="57" fillId="30" borderId="44" xfId="174" applyFont="1" applyFill="1" applyBorder="1" applyAlignment="1">
      <alignment horizontal="center" vertical="center" wrapText="1"/>
    </xf>
    <xf numFmtId="0" fontId="57" fillId="30" borderId="16" xfId="174" applyFont="1" applyFill="1" applyBorder="1" applyAlignment="1">
      <alignment horizontal="center" vertical="center" wrapText="1"/>
    </xf>
    <xf numFmtId="0" fontId="57" fillId="30" borderId="63" xfId="179" applyFont="1" applyFill="1" applyBorder="1" applyAlignment="1">
      <alignment horizontal="center" vertical="center" wrapText="1"/>
    </xf>
    <xf numFmtId="0" fontId="57" fillId="30" borderId="28" xfId="179" applyFont="1" applyFill="1" applyBorder="1" applyAlignment="1">
      <alignment horizontal="center" vertical="center" wrapText="1"/>
    </xf>
    <xf numFmtId="0" fontId="57" fillId="30" borderId="13" xfId="179" applyFont="1" applyFill="1" applyBorder="1" applyAlignment="1">
      <alignment horizontal="center" vertical="center" wrapText="1"/>
    </xf>
    <xf numFmtId="0" fontId="57" fillId="30" borderId="56" xfId="179" applyFont="1" applyFill="1" applyBorder="1" applyAlignment="1">
      <alignment horizontal="center" vertical="center" wrapText="1"/>
    </xf>
    <xf numFmtId="0" fontId="57" fillId="30" borderId="46" xfId="179" applyFont="1" applyFill="1" applyBorder="1" applyAlignment="1">
      <alignment horizontal="center" vertical="center" wrapText="1"/>
    </xf>
    <xf numFmtId="0" fontId="57" fillId="30" borderId="45" xfId="179" applyFont="1" applyFill="1" applyBorder="1" applyAlignment="1">
      <alignment horizontal="center" vertical="center" wrapText="1"/>
    </xf>
    <xf numFmtId="0" fontId="57" fillId="30" borderId="65" xfId="179" applyFont="1" applyFill="1" applyBorder="1" applyAlignment="1">
      <alignment horizontal="center" vertical="center" wrapText="1"/>
    </xf>
    <xf numFmtId="0" fontId="57" fillId="30" borderId="50" xfId="179" applyFont="1" applyFill="1" applyBorder="1" applyAlignment="1">
      <alignment horizontal="center" vertical="center" wrapText="1"/>
    </xf>
    <xf numFmtId="0" fontId="57" fillId="30" borderId="55" xfId="179" applyFont="1" applyFill="1" applyBorder="1" applyAlignment="1">
      <alignment horizontal="center" vertical="center" wrapText="1"/>
    </xf>
    <xf numFmtId="0" fontId="57" fillId="30" borderId="63" xfId="174" applyFont="1" applyFill="1" applyBorder="1" applyAlignment="1">
      <alignment horizontal="center" vertical="center" wrapText="1"/>
    </xf>
    <xf numFmtId="0" fontId="57" fillId="30" borderId="28" xfId="174" applyFont="1" applyFill="1" applyBorder="1" applyAlignment="1">
      <alignment horizontal="center" vertical="center" wrapText="1"/>
    </xf>
    <xf numFmtId="0" fontId="57" fillId="30" borderId="13" xfId="174" applyFont="1" applyFill="1" applyBorder="1" applyAlignment="1">
      <alignment horizontal="center" vertical="center" wrapText="1"/>
    </xf>
    <xf numFmtId="0" fontId="57" fillId="30" borderId="16" xfId="179" applyFont="1" applyFill="1" applyBorder="1" applyAlignment="1">
      <alignment horizontal="center" vertical="center" wrapText="1"/>
    </xf>
    <xf numFmtId="0" fontId="57" fillId="30" borderId="59" xfId="174" applyFont="1" applyFill="1" applyBorder="1" applyAlignment="1">
      <alignment horizontal="center" vertical="center" wrapText="1"/>
    </xf>
    <xf numFmtId="0" fontId="57" fillId="30" borderId="116" xfId="174" applyFont="1" applyFill="1" applyBorder="1" applyAlignment="1">
      <alignment horizontal="center" vertical="center" wrapText="1"/>
    </xf>
    <xf numFmtId="0" fontId="57" fillId="30" borderId="57" xfId="174" applyFont="1" applyFill="1" applyBorder="1" applyAlignment="1">
      <alignment horizontal="center" vertical="center" wrapText="1"/>
    </xf>
    <xf numFmtId="0" fontId="57" fillId="30" borderId="15" xfId="174" applyFont="1" applyFill="1" applyBorder="1" applyAlignment="1">
      <alignment horizontal="center" vertical="center" wrapText="1"/>
    </xf>
    <xf numFmtId="0" fontId="57" fillId="30" borderId="27" xfId="179" applyFont="1" applyFill="1" applyBorder="1" applyAlignment="1">
      <alignment horizontal="center" vertical="center" wrapText="1"/>
    </xf>
    <xf numFmtId="0" fontId="120" fillId="30" borderId="30" xfId="179" applyFont="1" applyFill="1" applyBorder="1" applyAlignment="1">
      <alignment horizontal="center" vertical="center" wrapText="1"/>
    </xf>
    <xf numFmtId="0" fontId="120" fillId="30" borderId="31" xfId="179" applyFont="1" applyFill="1" applyBorder="1" applyAlignment="1">
      <alignment horizontal="center" vertical="center" wrapText="1"/>
    </xf>
    <xf numFmtId="0" fontId="120" fillId="30" borderId="32" xfId="179" applyFont="1" applyFill="1" applyBorder="1" applyAlignment="1">
      <alignment horizontal="center" vertical="center" wrapText="1"/>
    </xf>
    <xf numFmtId="0" fontId="57" fillId="30" borderId="27" xfId="174" applyFont="1" applyFill="1" applyBorder="1" applyAlignment="1">
      <alignment horizontal="center" vertical="center" wrapText="1"/>
    </xf>
    <xf numFmtId="0" fontId="57" fillId="30" borderId="14" xfId="174" applyFont="1" applyFill="1" applyBorder="1" applyAlignment="1">
      <alignment horizontal="center" vertical="center" wrapText="1"/>
    </xf>
    <xf numFmtId="0" fontId="57" fillId="30" borderId="53" xfId="179" applyFont="1" applyFill="1" applyBorder="1" applyAlignment="1">
      <alignment horizontal="center" vertical="center" wrapText="1"/>
    </xf>
    <xf numFmtId="0" fontId="57" fillId="30" borderId="30" xfId="180" applyFont="1" applyFill="1" applyBorder="1" applyAlignment="1">
      <alignment horizontal="left" vertical="center" indent="2"/>
    </xf>
    <xf numFmtId="0" fontId="57" fillId="30" borderId="31" xfId="180" applyFont="1" applyFill="1" applyBorder="1" applyAlignment="1">
      <alignment horizontal="left" vertical="center" indent="2"/>
    </xf>
    <xf numFmtId="0" fontId="57" fillId="30" borderId="32" xfId="180" applyFont="1" applyFill="1" applyBorder="1" applyAlignment="1">
      <alignment horizontal="left" vertical="center" indent="2"/>
    </xf>
    <xf numFmtId="0" fontId="101" fillId="30" borderId="30" xfId="0" applyFont="1" applyFill="1" applyBorder="1" applyAlignment="1">
      <alignment horizontal="left" vertical="center" wrapText="1" indent="4"/>
    </xf>
    <xf numFmtId="0" fontId="101" fillId="30" borderId="31" xfId="0" applyFont="1" applyFill="1" applyBorder="1" applyAlignment="1">
      <alignment horizontal="left" vertical="center" wrapText="1" indent="4"/>
    </xf>
    <xf numFmtId="0" fontId="101" fillId="30" borderId="32" xfId="0" applyFont="1" applyFill="1" applyBorder="1" applyAlignment="1">
      <alignment horizontal="left" vertical="center" wrapText="1" indent="4"/>
    </xf>
    <xf numFmtId="0" fontId="77" fillId="30" borderId="56" xfId="150" applyFont="1" applyFill="1" applyBorder="1" applyAlignment="1">
      <alignment horizontal="center" vertical="center" wrapText="1"/>
    </xf>
    <xf numFmtId="0" fontId="77" fillId="30" borderId="46" xfId="150" applyFont="1" applyFill="1" applyBorder="1" applyAlignment="1">
      <alignment horizontal="center" vertical="center" wrapText="1"/>
    </xf>
    <xf numFmtId="0" fontId="77" fillId="30" borderId="45" xfId="150" applyFont="1" applyFill="1" applyBorder="1" applyAlignment="1">
      <alignment horizontal="center" vertical="center" wrapText="1"/>
    </xf>
    <xf numFmtId="0" fontId="77" fillId="30" borderId="40" xfId="150" applyFont="1" applyFill="1" applyBorder="1" applyAlignment="1">
      <alignment horizontal="center" vertical="center" wrapText="1"/>
    </xf>
    <xf numFmtId="0" fontId="77" fillId="30" borderId="7" xfId="150" applyFont="1" applyFill="1" applyBorder="1" applyAlignment="1">
      <alignment horizontal="center" vertical="center" wrapText="1"/>
    </xf>
    <xf numFmtId="0" fontId="77" fillId="30" borderId="118" xfId="150" applyFont="1" applyFill="1" applyBorder="1" applyAlignment="1">
      <alignment horizontal="center" vertical="center" wrapText="1"/>
    </xf>
    <xf numFmtId="0" fontId="77" fillId="30" borderId="116" xfId="150" applyFont="1" applyFill="1" applyBorder="1" applyAlignment="1">
      <alignment horizontal="center" vertical="center" wrapText="1"/>
    </xf>
    <xf numFmtId="0" fontId="77" fillId="30" borderId="65" xfId="150" applyFont="1" applyFill="1" applyBorder="1" applyAlignment="1">
      <alignment horizontal="center" vertical="center" wrapText="1"/>
    </xf>
    <xf numFmtId="0" fontId="77" fillId="30" borderId="28" xfId="150" applyFont="1" applyFill="1" applyBorder="1" applyAlignment="1">
      <alignment horizontal="center" vertical="center" wrapText="1"/>
    </xf>
    <xf numFmtId="9" fontId="77" fillId="30" borderId="27" xfId="150" applyNumberFormat="1" applyFont="1" applyFill="1" applyBorder="1" applyAlignment="1">
      <alignment horizontal="center" vertical="center" wrapText="1"/>
    </xf>
    <xf numFmtId="9" fontId="77" fillId="30" borderId="28" xfId="150" applyNumberFormat="1" applyFont="1" applyFill="1" applyBorder="1" applyAlignment="1">
      <alignment horizontal="center" vertical="center" wrapText="1"/>
    </xf>
    <xf numFmtId="0" fontId="77" fillId="30" borderId="53" xfId="150" applyFont="1" applyFill="1" applyBorder="1" applyAlignment="1">
      <alignment horizontal="center" vertical="center" wrapText="1"/>
    </xf>
    <xf numFmtId="0" fontId="5" fillId="30" borderId="14" xfId="0" applyFont="1" applyFill="1" applyBorder="1" applyAlignment="1">
      <alignment wrapText="1"/>
    </xf>
    <xf numFmtId="0" fontId="116" fillId="30" borderId="63" xfId="0" applyFont="1" applyFill="1" applyBorder="1" applyAlignment="1">
      <alignment horizontal="center" vertical="center" wrapText="1"/>
    </xf>
    <xf numFmtId="0" fontId="116" fillId="30" borderId="28" xfId="0" applyFont="1" applyFill="1" applyBorder="1" applyAlignment="1">
      <alignment horizontal="center" vertical="center" wrapText="1"/>
    </xf>
    <xf numFmtId="0" fontId="116" fillId="30" borderId="13" xfId="0" applyFont="1" applyFill="1" applyBorder="1" applyAlignment="1">
      <alignment horizontal="center" vertical="center" wrapText="1"/>
    </xf>
    <xf numFmtId="0" fontId="116" fillId="30" borderId="56" xfId="0" applyFont="1" applyFill="1" applyBorder="1" applyAlignment="1">
      <alignment horizontal="center" vertical="center" wrapText="1"/>
    </xf>
    <xf numFmtId="0" fontId="116" fillId="30" borderId="46" xfId="0" applyFont="1" applyFill="1" applyBorder="1" applyAlignment="1">
      <alignment horizontal="center" vertical="center" wrapText="1"/>
    </xf>
    <xf numFmtId="0" fontId="116" fillId="30" borderId="45" xfId="0" applyFont="1" applyFill="1" applyBorder="1" applyAlignment="1">
      <alignment horizontal="center" vertical="center" wrapText="1"/>
    </xf>
    <xf numFmtId="0" fontId="77" fillId="30" borderId="63" xfId="150" applyFont="1" applyFill="1" applyBorder="1" applyAlignment="1">
      <alignment horizontal="center" vertical="center" wrapText="1"/>
    </xf>
    <xf numFmtId="0" fontId="77" fillId="30" borderId="27" xfId="0" applyFont="1" applyFill="1" applyBorder="1" applyAlignment="1">
      <alignment horizontal="center" vertical="center" wrapText="1"/>
    </xf>
    <xf numFmtId="0" fontId="77" fillId="30" borderId="13" xfId="0" applyFont="1" applyFill="1" applyBorder="1" applyAlignment="1">
      <alignment horizontal="center" vertical="center" wrapText="1"/>
    </xf>
    <xf numFmtId="0" fontId="77" fillId="30" borderId="43" xfId="150" applyFont="1" applyFill="1" applyBorder="1" applyAlignment="1">
      <alignment horizontal="center" vertical="center" wrapText="1"/>
    </xf>
    <xf numFmtId="0" fontId="77" fillId="30" borderId="44" xfId="150" applyFont="1" applyFill="1" applyBorder="1" applyAlignment="1">
      <alignment horizontal="center" vertical="center" wrapText="1"/>
    </xf>
    <xf numFmtId="0" fontId="77" fillId="30" borderId="14" xfId="150" applyFont="1" applyFill="1" applyBorder="1" applyAlignment="1">
      <alignment horizontal="center" vertical="center" wrapText="1"/>
    </xf>
    <xf numFmtId="0" fontId="77" fillId="30" borderId="15" xfId="150" applyFont="1" applyFill="1" applyBorder="1" applyAlignment="1">
      <alignment horizontal="center" vertical="center" wrapText="1"/>
    </xf>
    <xf numFmtId="9" fontId="116" fillId="30" borderId="50" xfId="150" applyNumberFormat="1" applyFont="1" applyFill="1" applyBorder="1" applyAlignment="1">
      <alignment horizontal="center" vertical="center" wrapText="1"/>
    </xf>
    <xf numFmtId="9" fontId="116" fillId="30" borderId="0" xfId="150" applyNumberFormat="1" applyFont="1" applyFill="1" applyBorder="1" applyAlignment="1">
      <alignment horizontal="center" vertical="center" wrapText="1"/>
    </xf>
    <xf numFmtId="0" fontId="116" fillId="30" borderId="0" xfId="150" applyFont="1" applyFill="1" applyBorder="1" applyAlignment="1">
      <alignment vertical="center"/>
    </xf>
    <xf numFmtId="0" fontId="93" fillId="0" borderId="23" xfId="150" applyFont="1" applyFill="1" applyBorder="1" applyAlignment="1">
      <alignment horizontal="left" vertical="center"/>
    </xf>
    <xf numFmtId="0" fontId="93" fillId="0" borderId="49" xfId="150" applyFont="1" applyFill="1" applyBorder="1" applyAlignment="1">
      <alignment horizontal="left" vertical="center"/>
    </xf>
    <xf numFmtId="0" fontId="77" fillId="30" borderId="27" xfId="150" applyFont="1" applyFill="1" applyBorder="1" applyAlignment="1">
      <alignment horizontal="center" vertical="center" wrapText="1"/>
    </xf>
    <xf numFmtId="0" fontId="77" fillId="30" borderId="13" xfId="150" applyFont="1" applyFill="1" applyBorder="1" applyAlignment="1">
      <alignment horizontal="center" vertical="center" wrapText="1"/>
    </xf>
    <xf numFmtId="0" fontId="116" fillId="30" borderId="65" xfId="159" applyFont="1" applyFill="1" applyBorder="1" applyAlignment="1">
      <alignment horizontal="center" vertical="center" wrapText="1"/>
    </xf>
    <xf numFmtId="0" fontId="136" fillId="30" borderId="44" xfId="0" applyFont="1" applyFill="1" applyBorder="1" applyAlignment="1">
      <alignment wrapText="1"/>
    </xf>
    <xf numFmtId="0" fontId="136" fillId="30" borderId="50" xfId="0" applyFont="1" applyFill="1" applyBorder="1" applyAlignment="1">
      <alignment wrapText="1"/>
    </xf>
    <xf numFmtId="0" fontId="136" fillId="30" borderId="15" xfId="0" applyFont="1" applyFill="1" applyBorder="1" applyAlignment="1">
      <alignment wrapText="1"/>
    </xf>
    <xf numFmtId="0" fontId="116" fillId="30" borderId="27" xfId="0" applyFont="1" applyFill="1" applyBorder="1" applyAlignment="1">
      <alignment horizontal="center" vertical="center" wrapText="1"/>
    </xf>
    <xf numFmtId="0" fontId="77" fillId="30" borderId="8" xfId="150" applyFont="1" applyFill="1" applyBorder="1" applyAlignment="1">
      <alignment horizontal="center" vertical="center" wrapText="1"/>
    </xf>
    <xf numFmtId="0" fontId="77" fillId="30" borderId="36" xfId="150" applyFont="1" applyFill="1" applyBorder="1" applyAlignment="1">
      <alignment horizontal="center" vertical="center" wrapText="1"/>
    </xf>
    <xf numFmtId="0" fontId="116" fillId="30" borderId="8" xfId="0" applyFont="1" applyFill="1" applyBorder="1" applyAlignment="1">
      <alignment horizontal="center" vertical="center" wrapText="1"/>
    </xf>
    <xf numFmtId="0" fontId="116" fillId="30" borderId="23" xfId="0" applyFont="1" applyFill="1" applyBorder="1" applyAlignment="1">
      <alignment horizontal="center" vertical="center" wrapText="1"/>
    </xf>
    <xf numFmtId="0" fontId="116" fillId="30" borderId="36" xfId="0" applyFont="1" applyFill="1" applyBorder="1" applyAlignment="1">
      <alignment horizontal="center" vertical="center" wrapText="1"/>
    </xf>
    <xf numFmtId="0" fontId="131" fillId="30" borderId="51" xfId="0" applyFont="1" applyFill="1" applyBorder="1" applyAlignment="1">
      <alignment horizontal="center"/>
    </xf>
    <xf numFmtId="0" fontId="131" fillId="30" borderId="44" xfId="0" applyFont="1" applyFill="1" applyBorder="1" applyAlignment="1">
      <alignment horizontal="center"/>
    </xf>
    <xf numFmtId="0" fontId="131" fillId="30" borderId="52" xfId="0" applyFont="1" applyFill="1" applyBorder="1" applyAlignment="1">
      <alignment horizontal="center"/>
    </xf>
    <xf numFmtId="0" fontId="131" fillId="30" borderId="15" xfId="0" applyFont="1" applyFill="1" applyBorder="1" applyAlignment="1">
      <alignment horizontal="center"/>
    </xf>
    <xf numFmtId="0" fontId="131" fillId="30" borderId="58" xfId="0" applyFont="1" applyFill="1" applyBorder="1" applyAlignment="1">
      <alignment horizontal="center"/>
    </xf>
    <xf numFmtId="0" fontId="131" fillId="30" borderId="16" xfId="0" applyFont="1" applyFill="1" applyBorder="1" applyAlignment="1">
      <alignment horizontal="center"/>
    </xf>
    <xf numFmtId="0" fontId="60" fillId="30" borderId="63" xfId="0" applyFont="1" applyFill="1" applyBorder="1" applyAlignment="1">
      <alignment horizontal="center" vertical="center" wrapText="1"/>
    </xf>
    <xf numFmtId="0" fontId="118" fillId="30" borderId="28" xfId="0" applyFont="1" applyFill="1" applyBorder="1" applyAlignment="1">
      <alignment horizontal="center" vertical="center" wrapText="1"/>
    </xf>
    <xf numFmtId="0" fontId="118" fillId="30" borderId="13" xfId="0" applyFont="1" applyFill="1" applyBorder="1" applyAlignment="1">
      <alignment horizontal="center" vertical="center" wrapText="1"/>
    </xf>
    <xf numFmtId="0" fontId="60" fillId="30" borderId="27" xfId="159" applyFont="1" applyFill="1" applyBorder="1" applyAlignment="1">
      <alignment horizontal="center" vertical="center" wrapText="1"/>
    </xf>
    <xf numFmtId="0" fontId="60" fillId="30" borderId="13" xfId="159" applyFont="1" applyFill="1" applyBorder="1" applyAlignment="1">
      <alignment horizontal="center" vertical="center" wrapText="1"/>
    </xf>
    <xf numFmtId="0" fontId="60" fillId="30" borderId="28" xfId="159" applyFont="1" applyFill="1" applyBorder="1" applyAlignment="1">
      <alignment horizontal="center" vertical="center" wrapText="1"/>
    </xf>
    <xf numFmtId="0" fontId="60" fillId="30" borderId="63" xfId="159" applyFont="1" applyFill="1" applyBorder="1" applyAlignment="1">
      <alignment horizontal="center" vertical="center" wrapText="1"/>
    </xf>
    <xf numFmtId="0" fontId="118" fillId="30" borderId="56" xfId="0" applyFont="1" applyFill="1" applyBorder="1" applyAlignment="1">
      <alignment horizontal="center" vertical="center" wrapText="1"/>
    </xf>
    <xf numFmtId="0" fontId="118" fillId="30" borderId="46" xfId="0" applyFont="1" applyFill="1" applyBorder="1" applyAlignment="1">
      <alignment horizontal="center" vertical="center" wrapText="1"/>
    </xf>
    <xf numFmtId="0" fontId="118" fillId="30" borderId="45" xfId="0" applyFont="1" applyFill="1" applyBorder="1" applyAlignment="1">
      <alignment horizontal="center" vertical="center" wrapText="1"/>
    </xf>
    <xf numFmtId="0" fontId="60" fillId="30" borderId="27" xfId="0" applyFont="1" applyFill="1" applyBorder="1" applyAlignment="1">
      <alignment horizontal="center" vertical="center" wrapText="1"/>
    </xf>
    <xf numFmtId="0" fontId="60" fillId="30" borderId="13" xfId="0" applyFont="1" applyFill="1" applyBorder="1" applyAlignment="1">
      <alignment horizontal="center" vertical="center" wrapText="1"/>
    </xf>
    <xf numFmtId="0" fontId="118" fillId="30" borderId="27" xfId="0" applyFont="1" applyFill="1" applyBorder="1" applyAlignment="1">
      <alignment horizontal="center" vertical="center" wrapText="1"/>
    </xf>
    <xf numFmtId="0" fontId="60" fillId="30" borderId="40" xfId="150" applyFont="1" applyFill="1" applyBorder="1" applyAlignment="1">
      <alignment horizontal="center" vertical="center" wrapText="1"/>
    </xf>
    <xf numFmtId="0" fontId="60" fillId="30" borderId="7" xfId="150" applyFont="1" applyFill="1" applyBorder="1" applyAlignment="1">
      <alignment horizontal="center" vertical="center" wrapText="1"/>
    </xf>
    <xf numFmtId="9" fontId="60" fillId="30" borderId="53" xfId="159" applyNumberFormat="1" applyFont="1" applyFill="1" applyBorder="1" applyAlignment="1">
      <alignment horizontal="center" vertical="center" wrapText="1"/>
    </xf>
    <xf numFmtId="0" fontId="60" fillId="30" borderId="36" xfId="159" applyFont="1" applyFill="1" applyBorder="1" applyAlignment="1">
      <alignment vertical="center"/>
    </xf>
    <xf numFmtId="0" fontId="60" fillId="30" borderId="119" xfId="159" applyFont="1" applyFill="1" applyBorder="1" applyAlignment="1">
      <alignment horizontal="center" vertical="center" wrapText="1"/>
    </xf>
    <xf numFmtId="0" fontId="60" fillId="30" borderId="26" xfId="159" applyFont="1" applyFill="1" applyBorder="1" applyAlignment="1">
      <alignment horizontal="center" vertical="center" wrapText="1"/>
    </xf>
    <xf numFmtId="0" fontId="60" fillId="30" borderId="120" xfId="159" applyFont="1" applyFill="1" applyBorder="1" applyAlignment="1">
      <alignment horizontal="center" vertical="center" wrapText="1"/>
    </xf>
    <xf numFmtId="0" fontId="60" fillId="30" borderId="56" xfId="159" applyFont="1" applyFill="1" applyBorder="1" applyAlignment="1">
      <alignment horizontal="center" vertical="center" wrapText="1"/>
    </xf>
    <xf numFmtId="0" fontId="60" fillId="30" borderId="46" xfId="159" applyFont="1" applyFill="1" applyBorder="1" applyAlignment="1">
      <alignment horizontal="center" vertical="center" wrapText="1"/>
    </xf>
    <xf numFmtId="0" fontId="60" fillId="30" borderId="45" xfId="159" applyFont="1" applyFill="1" applyBorder="1" applyAlignment="1">
      <alignment horizontal="center" vertical="center" wrapText="1"/>
    </xf>
    <xf numFmtId="0" fontId="60" fillId="30" borderId="63" xfId="150" applyFont="1" applyFill="1" applyBorder="1" applyAlignment="1">
      <alignment horizontal="center" vertical="center" wrapText="1"/>
    </xf>
    <xf numFmtId="0" fontId="60" fillId="30" borderId="28" xfId="150" applyFont="1" applyFill="1" applyBorder="1" applyAlignment="1">
      <alignment horizontal="center" vertical="center" wrapText="1"/>
    </xf>
    <xf numFmtId="0" fontId="60" fillId="30" borderId="13" xfId="150" applyFont="1" applyFill="1" applyBorder="1" applyAlignment="1">
      <alignment horizontal="center" vertical="center" wrapText="1"/>
    </xf>
    <xf numFmtId="0" fontId="105" fillId="0" borderId="7" xfId="201" applyFont="1" applyFill="1" applyBorder="1" applyAlignment="1">
      <alignment horizontal="left" vertical="center" wrapText="1"/>
    </xf>
    <xf numFmtId="0" fontId="87" fillId="0" borderId="7" xfId="0" applyFont="1" applyFill="1" applyBorder="1" applyAlignment="1">
      <alignment horizontal="left" vertical="center" wrapText="1"/>
    </xf>
    <xf numFmtId="0" fontId="131" fillId="30" borderId="43" xfId="0" applyFont="1" applyFill="1" applyBorder="1" applyAlignment="1">
      <alignment horizontal="center"/>
    </xf>
    <xf numFmtId="0" fontId="131" fillId="30" borderId="0" xfId="0" applyFont="1" applyFill="1" applyBorder="1" applyAlignment="1">
      <alignment horizontal="center"/>
    </xf>
    <xf numFmtId="0" fontId="131" fillId="30" borderId="33" xfId="0" applyFont="1" applyFill="1" applyBorder="1" applyAlignment="1">
      <alignment horizontal="center"/>
    </xf>
    <xf numFmtId="0" fontId="60" fillId="30" borderId="8" xfId="0" applyFont="1" applyFill="1" applyBorder="1" applyAlignment="1">
      <alignment horizontal="center" vertical="center" wrapText="1"/>
    </xf>
    <xf numFmtId="0" fontId="60" fillId="30" borderId="23" xfId="0" applyFont="1" applyFill="1" applyBorder="1" applyAlignment="1">
      <alignment horizontal="center" vertical="center" wrapText="1"/>
    </xf>
    <xf numFmtId="0" fontId="60" fillId="30" borderId="36" xfId="0" applyFont="1" applyFill="1" applyBorder="1" applyAlignment="1">
      <alignment horizontal="center" vertical="center" wrapText="1"/>
    </xf>
    <xf numFmtId="0" fontId="60" fillId="30" borderId="28" xfId="159" applyFont="1" applyFill="1" applyBorder="1" applyAlignment="1">
      <alignment horizontal="center" vertical="center"/>
    </xf>
    <xf numFmtId="0" fontId="60" fillId="30" borderId="8" xfId="159" applyFont="1" applyFill="1" applyBorder="1" applyAlignment="1">
      <alignment horizontal="center" vertical="center" wrapText="1"/>
    </xf>
    <xf numFmtId="0" fontId="60" fillId="30" borderId="36" xfId="159" applyFont="1" applyFill="1" applyBorder="1" applyAlignment="1">
      <alignment horizontal="center" vertical="center" wrapText="1"/>
    </xf>
    <xf numFmtId="0" fontId="60" fillId="30" borderId="65" xfId="159" applyFont="1" applyFill="1" applyBorder="1" applyAlignment="1">
      <alignment horizontal="center" vertical="center" wrapText="1"/>
    </xf>
    <xf numFmtId="0" fontId="60" fillId="30" borderId="43" xfId="159" applyFont="1" applyFill="1" applyBorder="1" applyAlignment="1">
      <alignment horizontal="center" vertical="center" wrapText="1"/>
    </xf>
    <xf numFmtId="0" fontId="60" fillId="30" borderId="44" xfId="159" applyFont="1" applyFill="1" applyBorder="1" applyAlignment="1">
      <alignment horizontal="center" vertical="center" wrapText="1"/>
    </xf>
    <xf numFmtId="0" fontId="93" fillId="0" borderId="53" xfId="150" applyFont="1" applyFill="1" applyBorder="1" applyAlignment="1">
      <alignment horizontal="left" vertical="center" wrapText="1"/>
    </xf>
    <xf numFmtId="0" fontId="93" fillId="0" borderId="17" xfId="150" applyFont="1" applyFill="1" applyBorder="1" applyAlignment="1">
      <alignment horizontal="left" vertical="center" wrapText="1"/>
    </xf>
    <xf numFmtId="0" fontId="93" fillId="0" borderId="62" xfId="150" applyFont="1" applyFill="1" applyBorder="1" applyAlignment="1">
      <alignment horizontal="left" vertical="center" wrapText="1"/>
    </xf>
    <xf numFmtId="0" fontId="105" fillId="27" borderId="7" xfId="0" applyFont="1" applyFill="1" applyBorder="1" applyAlignment="1">
      <alignment horizontal="left" vertical="center" wrapText="1"/>
    </xf>
    <xf numFmtId="0" fontId="105" fillId="0" borderId="7" xfId="201" applyFont="1" applyFill="1" applyBorder="1" applyAlignment="1">
      <alignment horizontal="left" vertical="center" wrapText="1" indent="3"/>
    </xf>
    <xf numFmtId="0" fontId="105" fillId="0" borderId="7" xfId="0" applyFont="1" applyFill="1" applyBorder="1" applyAlignment="1">
      <alignment horizontal="left" vertical="center" wrapText="1"/>
    </xf>
    <xf numFmtId="0" fontId="101" fillId="30" borderId="121" xfId="0" applyFont="1" applyFill="1" applyBorder="1" applyAlignment="1">
      <alignment horizontal="left" vertical="center" wrapText="1" indent="2"/>
    </xf>
    <xf numFmtId="0" fontId="101" fillId="30" borderId="31" xfId="0" applyFont="1" applyFill="1" applyBorder="1" applyAlignment="1">
      <alignment horizontal="left" vertical="center" wrapText="1" indent="2"/>
    </xf>
    <xf numFmtId="0" fontId="101" fillId="30" borderId="32" xfId="0" applyFont="1" applyFill="1" applyBorder="1" applyAlignment="1">
      <alignment horizontal="left" vertical="center" wrapText="1" indent="2"/>
    </xf>
    <xf numFmtId="0" fontId="101" fillId="30" borderId="122" xfId="0" applyFont="1" applyFill="1" applyBorder="1" applyAlignment="1">
      <alignment horizontal="left" vertical="center" wrapText="1" indent="2"/>
    </xf>
    <xf numFmtId="0" fontId="93" fillId="0" borderId="7" xfId="0" applyFont="1" applyFill="1" applyBorder="1" applyAlignment="1">
      <alignment horizontal="left" vertical="center" wrapText="1"/>
    </xf>
    <xf numFmtId="0" fontId="118" fillId="30" borderId="65" xfId="159" applyFont="1" applyFill="1" applyBorder="1" applyAlignment="1">
      <alignment horizontal="center" vertical="center" wrapText="1"/>
    </xf>
    <xf numFmtId="0" fontId="130" fillId="30" borderId="44" xfId="0" applyFont="1" applyFill="1" applyBorder="1" applyAlignment="1">
      <alignment wrapText="1"/>
    </xf>
    <xf numFmtId="0" fontId="130" fillId="30" borderId="50" xfId="0" applyFont="1" applyFill="1" applyBorder="1" applyAlignment="1">
      <alignment wrapText="1"/>
    </xf>
    <xf numFmtId="0" fontId="130" fillId="30" borderId="15" xfId="0" applyFont="1" applyFill="1" applyBorder="1" applyAlignment="1">
      <alignment wrapText="1"/>
    </xf>
    <xf numFmtId="9" fontId="60" fillId="30" borderId="27" xfId="159" applyNumberFormat="1" applyFont="1" applyFill="1" applyBorder="1" applyAlignment="1">
      <alignment horizontal="center" vertical="center" wrapText="1"/>
    </xf>
    <xf numFmtId="9" fontId="60" fillId="30" borderId="28" xfId="159" applyNumberFormat="1" applyFont="1" applyFill="1" applyBorder="1" applyAlignment="1">
      <alignment horizontal="center" vertical="center" wrapText="1"/>
    </xf>
    <xf numFmtId="0" fontId="57" fillId="30" borderId="107" xfId="159" applyFont="1" applyFill="1" applyBorder="1" applyAlignment="1">
      <alignment horizontal="center" vertical="center" wrapText="1"/>
    </xf>
    <xf numFmtId="0" fontId="57" fillId="30" borderId="108" xfId="159" applyFont="1" applyFill="1" applyBorder="1" applyAlignment="1">
      <alignment horizontal="center" vertical="center" wrapText="1"/>
    </xf>
    <xf numFmtId="0" fontId="57" fillId="30" borderId="42" xfId="159" applyFont="1" applyFill="1" applyBorder="1" applyAlignment="1">
      <alignment horizontal="center" vertical="center" wrapText="1"/>
    </xf>
    <xf numFmtId="0" fontId="57" fillId="30" borderId="27" xfId="159" applyFont="1" applyFill="1" applyBorder="1" applyAlignment="1">
      <alignment horizontal="center" vertical="center" wrapText="1"/>
    </xf>
    <xf numFmtId="0" fontId="57" fillId="30" borderId="28" xfId="159" applyFont="1" applyFill="1" applyBorder="1" applyAlignment="1">
      <alignment horizontal="center" vertical="center" wrapText="1"/>
    </xf>
    <xf numFmtId="0" fontId="57" fillId="30" borderId="13" xfId="159" applyFont="1" applyFill="1" applyBorder="1" applyAlignment="1">
      <alignment horizontal="center" vertical="center" wrapText="1"/>
    </xf>
    <xf numFmtId="0" fontId="57" fillId="30" borderId="56" xfId="159" applyFont="1" applyFill="1" applyBorder="1" applyAlignment="1">
      <alignment horizontal="center" vertical="center" wrapText="1"/>
    </xf>
    <xf numFmtId="0" fontId="57" fillId="30" borderId="45" xfId="159" applyFont="1" applyFill="1" applyBorder="1" applyAlignment="1">
      <alignment horizontal="center" vertical="center" wrapText="1"/>
    </xf>
    <xf numFmtId="0" fontId="57" fillId="30" borderId="27" xfId="0" applyFont="1" applyFill="1" applyBorder="1" applyAlignment="1">
      <alignment horizontal="center" vertical="center" wrapText="1"/>
    </xf>
    <xf numFmtId="0" fontId="57" fillId="30" borderId="28" xfId="0" applyFont="1" applyFill="1" applyBorder="1" applyAlignment="1">
      <alignment horizontal="center" vertical="center" wrapText="1"/>
    </xf>
    <xf numFmtId="0" fontId="57" fillId="30" borderId="13" xfId="0" applyFont="1" applyFill="1" applyBorder="1" applyAlignment="1">
      <alignment horizontal="center" vertical="center" wrapText="1"/>
    </xf>
    <xf numFmtId="0" fontId="69" fillId="30" borderId="30" xfId="159" applyFont="1" applyFill="1" applyBorder="1" applyAlignment="1">
      <alignment horizontal="left" vertical="center" indent="1"/>
    </xf>
    <xf numFmtId="0" fontId="69" fillId="30" borderId="31" xfId="159" applyFont="1" applyFill="1" applyBorder="1" applyAlignment="1">
      <alignment horizontal="left" vertical="center" indent="1"/>
    </xf>
    <xf numFmtId="0" fontId="69" fillId="30" borderId="32" xfId="159" applyFont="1" applyFill="1" applyBorder="1" applyAlignment="1">
      <alignment horizontal="left" vertical="center" indent="1"/>
    </xf>
    <xf numFmtId="0" fontId="57" fillId="30" borderId="56" xfId="159" applyFont="1" applyFill="1" applyBorder="1" applyAlignment="1">
      <alignment horizontal="center" vertical="center"/>
    </xf>
    <xf numFmtId="0" fontId="57" fillId="30" borderId="46" xfId="159" applyFont="1" applyFill="1" applyBorder="1" applyAlignment="1">
      <alignment horizontal="center" vertical="center"/>
    </xf>
    <xf numFmtId="0" fontId="57" fillId="30" borderId="45" xfId="159" applyFont="1" applyFill="1" applyBorder="1" applyAlignment="1">
      <alignment horizontal="center" vertical="center"/>
    </xf>
    <xf numFmtId="0" fontId="57" fillId="30" borderId="63" xfId="159" applyFont="1" applyFill="1" applyBorder="1" applyAlignment="1">
      <alignment horizontal="center" vertical="center" wrapText="1"/>
    </xf>
    <xf numFmtId="0" fontId="57" fillId="30" borderId="7" xfId="159" applyFont="1" applyFill="1" applyBorder="1" applyAlignment="1">
      <alignment horizontal="center" vertical="center" wrapText="1"/>
    </xf>
    <xf numFmtId="0" fontId="57" fillId="30" borderId="63" xfId="0" applyFont="1" applyFill="1" applyBorder="1" applyAlignment="1">
      <alignment horizontal="center" vertical="center" wrapText="1"/>
    </xf>
    <xf numFmtId="0" fontId="57" fillId="30" borderId="56" xfId="0" applyFont="1" applyFill="1" applyBorder="1" applyAlignment="1">
      <alignment horizontal="center" vertical="center" wrapText="1"/>
    </xf>
    <xf numFmtId="0" fontId="57" fillId="30" borderId="46" xfId="0" applyFont="1" applyFill="1" applyBorder="1" applyAlignment="1">
      <alignment horizontal="center" vertical="center" wrapText="1"/>
    </xf>
    <xf numFmtId="0" fontId="57" fillId="30" borderId="45" xfId="0" applyFont="1" applyFill="1" applyBorder="1" applyAlignment="1">
      <alignment horizontal="center" vertical="center" wrapText="1"/>
    </xf>
    <xf numFmtId="0" fontId="57" fillId="30" borderId="40" xfId="159" applyFont="1" applyFill="1" applyBorder="1" applyAlignment="1">
      <alignment horizontal="center" vertical="center"/>
    </xf>
    <xf numFmtId="0" fontId="57" fillId="30" borderId="39" xfId="159" applyFont="1" applyFill="1" applyBorder="1" applyAlignment="1">
      <alignment horizontal="center" vertical="center"/>
    </xf>
    <xf numFmtId="0" fontId="57" fillId="30" borderId="7" xfId="159" applyFont="1" applyFill="1" applyBorder="1" applyAlignment="1">
      <alignment horizontal="center" vertical="center"/>
    </xf>
    <xf numFmtId="0" fontId="57" fillId="30" borderId="8" xfId="159" applyFont="1" applyFill="1" applyBorder="1" applyAlignment="1">
      <alignment horizontal="center" vertical="center"/>
    </xf>
    <xf numFmtId="0" fontId="57" fillId="30" borderId="23" xfId="159" applyFont="1" applyFill="1" applyBorder="1" applyAlignment="1">
      <alignment horizontal="center" vertical="center"/>
    </xf>
    <xf numFmtId="0" fontId="57" fillId="30" borderId="36" xfId="159" applyFont="1" applyFill="1" applyBorder="1" applyAlignment="1">
      <alignment horizontal="center" vertical="center"/>
    </xf>
    <xf numFmtId="0" fontId="57" fillId="30" borderId="41" xfId="159" applyFont="1" applyFill="1" applyBorder="1" applyAlignment="1">
      <alignment horizontal="center" vertical="center" wrapText="1"/>
    </xf>
    <xf numFmtId="0" fontId="57" fillId="30" borderId="53" xfId="159" applyFont="1" applyFill="1" applyBorder="1" applyAlignment="1">
      <alignment horizontal="center" vertical="center" wrapText="1"/>
    </xf>
    <xf numFmtId="0" fontId="57" fillId="30" borderId="55" xfId="159" applyFont="1" applyFill="1" applyBorder="1" applyAlignment="1">
      <alignment horizontal="center" vertical="center" wrapText="1"/>
    </xf>
    <xf numFmtId="0" fontId="57" fillId="30" borderId="0" xfId="159" applyFont="1" applyFill="1" applyBorder="1" applyAlignment="1">
      <alignment horizontal="center" vertical="center" wrapText="1"/>
    </xf>
    <xf numFmtId="0" fontId="57" fillId="30" borderId="8" xfId="159" applyFont="1" applyFill="1" applyBorder="1" applyAlignment="1">
      <alignment horizontal="center" vertical="center" wrapText="1"/>
    </xf>
    <xf numFmtId="0" fontId="57" fillId="30" borderId="23" xfId="159" applyFont="1" applyFill="1" applyBorder="1" applyAlignment="1">
      <alignment horizontal="center" vertical="center" wrapText="1"/>
    </xf>
    <xf numFmtId="0" fontId="57" fillId="30" borderId="36" xfId="159" applyFont="1" applyFill="1" applyBorder="1" applyAlignment="1">
      <alignment horizontal="center" vertical="center" wrapText="1"/>
    </xf>
    <xf numFmtId="0" fontId="57" fillId="30" borderId="50" xfId="159" applyFont="1" applyFill="1" applyBorder="1" applyAlignment="1">
      <alignment horizontal="center" vertical="center" wrapText="1"/>
    </xf>
    <xf numFmtId="0" fontId="57" fillId="30" borderId="14" xfId="159" applyFont="1" applyFill="1" applyBorder="1" applyAlignment="1">
      <alignment horizontal="center" vertical="center" wrapText="1"/>
    </xf>
    <xf numFmtId="0" fontId="57" fillId="30" borderId="16" xfId="159" applyFont="1" applyFill="1" applyBorder="1" applyAlignment="1">
      <alignment horizontal="center" vertical="center" wrapText="1"/>
    </xf>
    <xf numFmtId="0" fontId="73" fillId="0" borderId="0" xfId="177" applyFont="1" applyFill="1" applyBorder="1" applyAlignment="1">
      <alignment horizontal="left" vertical="center" wrapText="1"/>
    </xf>
    <xf numFmtId="0" fontId="83" fillId="30" borderId="27" xfId="177" applyFont="1" applyFill="1" applyBorder="1" applyAlignment="1">
      <alignment horizontal="center" vertical="center" wrapText="1"/>
    </xf>
    <xf numFmtId="0" fontId="83" fillId="30" borderId="13" xfId="177" applyFont="1" applyFill="1" applyBorder="1" applyAlignment="1">
      <alignment horizontal="center" vertical="center" wrapText="1"/>
    </xf>
    <xf numFmtId="0" fontId="83" fillId="30" borderId="15" xfId="177" applyFont="1" applyFill="1" applyBorder="1" applyAlignment="1">
      <alignment horizontal="center" vertical="center" wrapText="1"/>
    </xf>
    <xf numFmtId="0" fontId="83" fillId="30" borderId="16" xfId="177" applyFont="1" applyFill="1" applyBorder="1" applyAlignment="1">
      <alignment horizontal="center" vertical="center" wrapText="1"/>
    </xf>
    <xf numFmtId="0" fontId="83" fillId="30" borderId="53" xfId="177" applyFont="1" applyFill="1" applyBorder="1" applyAlignment="1">
      <alignment horizontal="center" vertical="center" wrapText="1"/>
    </xf>
    <xf numFmtId="0" fontId="83" fillId="30" borderId="55" xfId="177" applyFont="1" applyFill="1" applyBorder="1" applyAlignment="1">
      <alignment horizontal="center" vertical="center" wrapText="1"/>
    </xf>
    <xf numFmtId="0" fontId="83" fillId="30" borderId="59" xfId="177" quotePrefix="1" applyFont="1" applyFill="1" applyBorder="1" applyAlignment="1">
      <alignment horizontal="center" vertical="center" wrapText="1"/>
    </xf>
    <xf numFmtId="0" fontId="83" fillId="30" borderId="57" xfId="177" applyFont="1" applyFill="1" applyBorder="1" applyAlignment="1">
      <alignment horizontal="center" vertical="center" wrapText="1"/>
    </xf>
    <xf numFmtId="0" fontId="83" fillId="30" borderId="51" xfId="177" applyFont="1" applyFill="1" applyBorder="1" applyAlignment="1">
      <alignment horizontal="center" vertical="center" wrapText="1"/>
    </xf>
    <xf numFmtId="0" fontId="83" fillId="30" borderId="44" xfId="177" applyFont="1" applyFill="1" applyBorder="1" applyAlignment="1">
      <alignment horizontal="center" vertical="center" wrapText="1"/>
    </xf>
    <xf numFmtId="0" fontId="83" fillId="30" borderId="52" xfId="177" applyFont="1" applyFill="1" applyBorder="1" applyAlignment="1">
      <alignment horizontal="center" vertical="center" wrapText="1"/>
    </xf>
    <xf numFmtId="0" fontId="83" fillId="30" borderId="58" xfId="177" applyFont="1" applyFill="1" applyBorder="1" applyAlignment="1">
      <alignment horizontal="center" vertical="center" wrapText="1"/>
    </xf>
    <xf numFmtId="0" fontId="83" fillId="30" borderId="65" xfId="177" applyFont="1" applyFill="1" applyBorder="1" applyAlignment="1">
      <alignment horizontal="center" vertical="center" wrapText="1"/>
    </xf>
    <xf numFmtId="0" fontId="83" fillId="30" borderId="50" xfId="177" applyFont="1" applyFill="1" applyBorder="1" applyAlignment="1">
      <alignment horizontal="center" vertical="center" wrapText="1"/>
    </xf>
    <xf numFmtId="0" fontId="83" fillId="30" borderId="63" xfId="177" applyFont="1" applyFill="1" applyBorder="1" applyAlignment="1">
      <alignment horizontal="center" vertical="center" wrapText="1"/>
    </xf>
    <xf numFmtId="0" fontId="83" fillId="30" borderId="28" xfId="177" applyFont="1" applyFill="1" applyBorder="1" applyAlignment="1">
      <alignment horizontal="center" vertical="center" wrapText="1"/>
    </xf>
    <xf numFmtId="0" fontId="83" fillId="30" borderId="46" xfId="177" applyFont="1" applyFill="1" applyBorder="1" applyAlignment="1">
      <alignment horizontal="center" vertical="center"/>
    </xf>
    <xf numFmtId="0" fontId="83" fillId="30" borderId="47" xfId="177" applyFont="1" applyFill="1" applyBorder="1" applyAlignment="1">
      <alignment horizontal="center" vertical="center"/>
    </xf>
    <xf numFmtId="0" fontId="65" fillId="30" borderId="30" xfId="177" applyFont="1" applyFill="1" applyBorder="1" applyAlignment="1">
      <alignment horizontal="left" vertical="center" indent="1"/>
    </xf>
    <xf numFmtId="0" fontId="65" fillId="30" borderId="31" xfId="177" applyFont="1" applyFill="1" applyBorder="1" applyAlignment="1">
      <alignment horizontal="left" vertical="center" indent="1"/>
    </xf>
    <xf numFmtId="0" fontId="65" fillId="30" borderId="32" xfId="177" applyFont="1" applyFill="1" applyBorder="1" applyAlignment="1">
      <alignment horizontal="left" vertical="center" indent="1"/>
    </xf>
    <xf numFmtId="0" fontId="5" fillId="30" borderId="8" xfId="176" applyFont="1" applyFill="1" applyBorder="1" applyAlignment="1">
      <alignment horizontal="center" vertical="center" wrapText="1"/>
    </xf>
    <xf numFmtId="0" fontId="5" fillId="30" borderId="36" xfId="176" applyFont="1" applyFill="1" applyBorder="1" applyAlignment="1">
      <alignment horizontal="center" vertical="center" wrapText="1"/>
    </xf>
    <xf numFmtId="0" fontId="77" fillId="30" borderId="30" xfId="176" applyFont="1" applyFill="1" applyBorder="1" applyAlignment="1">
      <alignment horizontal="left" vertical="center" wrapText="1" indent="2"/>
    </xf>
    <xf numFmtId="0" fontId="77" fillId="30" borderId="31" xfId="176" applyFont="1" applyFill="1" applyBorder="1" applyAlignment="1">
      <alignment horizontal="left" vertical="center" wrapText="1" indent="2"/>
    </xf>
    <xf numFmtId="0" fontId="77" fillId="30" borderId="32" xfId="176" applyFont="1" applyFill="1" applyBorder="1" applyAlignment="1">
      <alignment horizontal="left" vertical="center" wrapText="1" indent="2"/>
    </xf>
    <xf numFmtId="0" fontId="83" fillId="30" borderId="51" xfId="176" applyFont="1" applyFill="1" applyBorder="1" applyAlignment="1">
      <alignment horizontal="center" vertical="center" wrapText="1"/>
    </xf>
    <xf numFmtId="0" fontId="83" fillId="30" borderId="43" xfId="176" applyFont="1" applyFill="1" applyBorder="1" applyAlignment="1">
      <alignment horizontal="center" vertical="center" wrapText="1"/>
    </xf>
    <xf numFmtId="0" fontId="83" fillId="30" borderId="44" xfId="176" applyFont="1" applyFill="1" applyBorder="1" applyAlignment="1">
      <alignment horizontal="center" vertical="center" wrapText="1"/>
    </xf>
    <xf numFmtId="0" fontId="83" fillId="30" borderId="58" xfId="176" applyFont="1" applyFill="1" applyBorder="1" applyAlignment="1">
      <alignment horizontal="center" vertical="center" wrapText="1"/>
    </xf>
    <xf numFmtId="0" fontId="83" fillId="30" borderId="33" xfId="176" applyFont="1" applyFill="1" applyBorder="1" applyAlignment="1">
      <alignment horizontal="center" vertical="center" wrapText="1"/>
    </xf>
    <xf numFmtId="0" fontId="83" fillId="30" borderId="16" xfId="176" applyFont="1" applyFill="1" applyBorder="1" applyAlignment="1">
      <alignment horizontal="center" vertical="center" wrapText="1"/>
    </xf>
    <xf numFmtId="0" fontId="5" fillId="30" borderId="46" xfId="176" applyFont="1" applyFill="1" applyBorder="1" applyAlignment="1">
      <alignment horizontal="center" vertical="center"/>
    </xf>
    <xf numFmtId="0" fontId="5" fillId="30" borderId="45" xfId="176" applyFont="1" applyFill="1" applyBorder="1" applyAlignment="1">
      <alignment horizontal="center" vertical="center"/>
    </xf>
    <xf numFmtId="0" fontId="5" fillId="30" borderId="63" xfId="176" applyFont="1" applyFill="1" applyBorder="1" applyAlignment="1">
      <alignment horizontal="center" vertical="center" wrapText="1"/>
    </xf>
    <xf numFmtId="0" fontId="5" fillId="30" borderId="13" xfId="176" applyFont="1" applyFill="1" applyBorder="1" applyAlignment="1">
      <alignment horizontal="center" vertical="center" wrapText="1"/>
    </xf>
    <xf numFmtId="0" fontId="5" fillId="30" borderId="65" xfId="176" applyFont="1" applyFill="1" applyBorder="1" applyAlignment="1">
      <alignment horizontal="center" vertical="center" wrapText="1"/>
    </xf>
    <xf numFmtId="0" fontId="5" fillId="30" borderId="119" xfId="176" applyFont="1" applyFill="1" applyBorder="1" applyAlignment="1">
      <alignment horizontal="center" vertical="center" wrapText="1"/>
    </xf>
    <xf numFmtId="0" fontId="83" fillId="30" borderId="27" xfId="176" applyFont="1" applyFill="1" applyBorder="1" applyAlignment="1">
      <alignment horizontal="left" vertical="center" wrapText="1" indent="2"/>
    </xf>
    <xf numFmtId="0" fontId="83" fillId="30" borderId="28" xfId="176" applyFont="1" applyFill="1" applyBorder="1" applyAlignment="1">
      <alignment horizontal="left" vertical="center" wrapText="1" indent="2"/>
    </xf>
    <xf numFmtId="0" fontId="83" fillId="30" borderId="123" xfId="176" applyFont="1" applyFill="1" applyBorder="1" applyAlignment="1">
      <alignment horizontal="left" vertical="center" wrapText="1" indent="2"/>
    </xf>
    <xf numFmtId="0" fontId="146" fillId="30" borderId="13" xfId="0" applyFont="1" applyFill="1" applyBorder="1" applyAlignment="1">
      <alignment horizontal="center" vertical="center" wrapText="1"/>
    </xf>
    <xf numFmtId="0" fontId="5" fillId="30" borderId="118" xfId="176" applyFont="1" applyFill="1" applyBorder="1" applyAlignment="1">
      <alignment horizontal="center" vertical="center" wrapText="1"/>
    </xf>
    <xf numFmtId="0" fontId="5" fillId="30" borderId="57" xfId="176" applyFont="1" applyFill="1" applyBorder="1" applyAlignment="1">
      <alignment horizontal="center" vertical="center" wrapText="1"/>
    </xf>
    <xf numFmtId="0" fontId="5" fillId="30" borderId="43" xfId="176" applyFont="1" applyFill="1" applyBorder="1" applyAlignment="1">
      <alignment horizontal="center" vertical="center" wrapText="1"/>
    </xf>
    <xf numFmtId="0" fontId="5" fillId="30" borderId="44" xfId="176" applyFont="1" applyFill="1" applyBorder="1" applyAlignment="1">
      <alignment horizontal="center" vertical="center" wrapText="1"/>
    </xf>
    <xf numFmtId="0" fontId="65" fillId="30" borderId="30" xfId="149" applyFont="1" applyFill="1" applyBorder="1" applyAlignment="1">
      <alignment horizontal="left" vertical="center" indent="2"/>
    </xf>
    <xf numFmtId="0" fontId="65" fillId="30" borderId="31" xfId="149" applyFont="1" applyFill="1" applyBorder="1" applyAlignment="1">
      <alignment horizontal="left" vertical="center" indent="2"/>
    </xf>
    <xf numFmtId="0" fontId="65" fillId="30" borderId="32" xfId="149" applyFont="1" applyFill="1" applyBorder="1" applyAlignment="1">
      <alignment horizontal="left" vertical="center" indent="2"/>
    </xf>
    <xf numFmtId="0" fontId="67" fillId="31" borderId="8" xfId="159" applyFont="1" applyFill="1" applyBorder="1" applyAlignment="1">
      <alignment horizontal="left" vertical="center" indent="5"/>
    </xf>
    <xf numFmtId="0" fontId="67" fillId="31" borderId="23" xfId="159" applyFont="1" applyFill="1" applyBorder="1" applyAlignment="1">
      <alignment horizontal="left" vertical="center" indent="5"/>
    </xf>
    <xf numFmtId="0" fontId="67" fillId="31" borderId="36" xfId="159" applyFont="1" applyFill="1" applyBorder="1" applyAlignment="1">
      <alignment horizontal="left" vertical="center" indent="5"/>
    </xf>
    <xf numFmtId="0" fontId="83" fillId="30" borderId="43" xfId="149" applyFont="1" applyFill="1" applyBorder="1" applyAlignment="1">
      <alignment horizontal="center"/>
    </xf>
    <xf numFmtId="0" fontId="83" fillId="30" borderId="44" xfId="149" applyFont="1" applyFill="1" applyBorder="1" applyAlignment="1">
      <alignment horizontal="center"/>
    </xf>
    <xf numFmtId="0" fontId="83" fillId="30" borderId="63" xfId="149" applyFont="1" applyFill="1" applyBorder="1" applyAlignment="1">
      <alignment horizontal="center" vertical="center" wrapText="1"/>
    </xf>
    <xf numFmtId="0" fontId="83" fillId="30" borderId="28" xfId="149" applyFont="1" applyFill="1" applyBorder="1" applyAlignment="1">
      <alignment horizontal="center" vertical="center" wrapText="1"/>
    </xf>
    <xf numFmtId="0" fontId="83" fillId="30" borderId="13" xfId="149" applyFont="1" applyFill="1" applyBorder="1" applyAlignment="1">
      <alignment horizontal="center" vertical="center" wrapText="1"/>
    </xf>
    <xf numFmtId="0" fontId="83" fillId="30" borderId="118" xfId="149" applyFont="1" applyFill="1" applyBorder="1" applyAlignment="1">
      <alignment horizontal="center" vertical="center" wrapText="1"/>
    </xf>
    <xf numFmtId="0" fontId="83" fillId="30" borderId="116" xfId="149" applyFont="1" applyFill="1" applyBorder="1" applyAlignment="1">
      <alignment horizontal="center" vertical="center" wrapText="1"/>
    </xf>
    <xf numFmtId="0" fontId="83" fillId="30" borderId="23" xfId="149" applyFont="1" applyFill="1" applyBorder="1" applyAlignment="1">
      <alignment horizontal="center" vertical="center" wrapText="1"/>
    </xf>
    <xf numFmtId="0" fontId="83" fillId="30" borderId="36" xfId="149" applyFont="1" applyFill="1" applyBorder="1" applyAlignment="1">
      <alignment horizontal="center" vertical="center" wrapText="1"/>
    </xf>
    <xf numFmtId="0" fontId="83" fillId="30" borderId="8" xfId="149" applyFont="1" applyFill="1" applyBorder="1" applyAlignment="1">
      <alignment horizontal="center" vertical="center" wrapText="1"/>
    </xf>
    <xf numFmtId="0" fontId="83" fillId="30" borderId="27" xfId="149" applyFont="1" applyFill="1" applyBorder="1" applyAlignment="1">
      <alignment horizontal="center" vertical="center" wrapText="1"/>
    </xf>
    <xf numFmtId="0" fontId="101" fillId="30" borderId="30" xfId="196" applyFont="1" applyFill="1" applyBorder="1" applyAlignment="1">
      <alignment horizontal="left" vertical="center" indent="1"/>
    </xf>
    <xf numFmtId="0" fontId="101" fillId="30" borderId="31" xfId="196" applyFont="1" applyFill="1" applyBorder="1" applyAlignment="1">
      <alignment horizontal="left" vertical="center" indent="1"/>
    </xf>
    <xf numFmtId="0" fontId="101" fillId="30" borderId="31" xfId="196" applyFont="1" applyFill="1" applyBorder="1" applyAlignment="1">
      <alignment horizontal="left" vertical="center" wrapText="1" indent="1"/>
    </xf>
    <xf numFmtId="0" fontId="101" fillId="30" borderId="32" xfId="196" applyFont="1" applyFill="1" applyBorder="1" applyAlignment="1">
      <alignment horizontal="left" vertical="center" wrapText="1" indent="1"/>
    </xf>
    <xf numFmtId="0" fontId="68" fillId="30" borderId="45" xfId="196" applyFont="1" applyFill="1" applyBorder="1" applyAlignment="1">
      <alignment horizontal="center" vertical="center" wrapText="1"/>
    </xf>
    <xf numFmtId="0" fontId="68" fillId="30" borderId="40" xfId="196" applyFont="1" applyFill="1" applyBorder="1" applyAlignment="1">
      <alignment horizontal="center" vertical="center"/>
    </xf>
    <xf numFmtId="0" fontId="68" fillId="30" borderId="56" xfId="196" applyFont="1" applyFill="1" applyBorder="1" applyAlignment="1">
      <alignment horizontal="center" vertical="center"/>
    </xf>
    <xf numFmtId="9" fontId="77" fillId="30" borderId="7" xfId="196" applyNumberFormat="1" applyFont="1" applyFill="1" applyBorder="1" applyAlignment="1">
      <alignment horizontal="center" vertical="center" wrapText="1"/>
    </xf>
    <xf numFmtId="9" fontId="77" fillId="30" borderId="27" xfId="196" applyNumberFormat="1" applyFont="1" applyFill="1" applyBorder="1" applyAlignment="1">
      <alignment horizontal="center" vertical="center" wrapText="1"/>
    </xf>
    <xf numFmtId="0" fontId="77" fillId="30" borderId="7" xfId="196" applyFont="1" applyFill="1" applyBorder="1" applyAlignment="1">
      <alignment vertical="center"/>
    </xf>
    <xf numFmtId="9" fontId="77" fillId="30" borderId="14" xfId="196" applyNumberFormat="1" applyFont="1" applyFill="1" applyBorder="1" applyAlignment="1">
      <alignment horizontal="center" vertical="center" wrapText="1"/>
    </xf>
    <xf numFmtId="0" fontId="77" fillId="30" borderId="8" xfId="196" applyFont="1" applyFill="1" applyBorder="1" applyAlignment="1">
      <alignment vertical="center"/>
    </xf>
    <xf numFmtId="0" fontId="116" fillId="30" borderId="51" xfId="196" applyFont="1" applyFill="1" applyBorder="1" applyAlignment="1">
      <alignment vertical="center"/>
    </xf>
    <xf numFmtId="0" fontId="136" fillId="30" borderId="43" xfId="0" applyFont="1" applyFill="1" applyBorder="1" applyAlignment="1">
      <alignment vertical="center"/>
    </xf>
    <xf numFmtId="0" fontId="136" fillId="30" borderId="44" xfId="0" applyFont="1" applyFill="1" applyBorder="1" applyAlignment="1">
      <alignment vertical="center"/>
    </xf>
    <xf numFmtId="0" fontId="136" fillId="30" borderId="52" xfId="0" applyFont="1" applyFill="1" applyBorder="1" applyAlignment="1">
      <alignment vertical="center"/>
    </xf>
    <xf numFmtId="0" fontId="136" fillId="30" borderId="0" xfId="0" applyFont="1" applyFill="1" applyBorder="1" applyAlignment="1">
      <alignment vertical="center"/>
    </xf>
    <xf numFmtId="0" fontId="136" fillId="30" borderId="15" xfId="0" applyFont="1" applyFill="1" applyBorder="1" applyAlignment="1">
      <alignment vertical="center"/>
    </xf>
    <xf numFmtId="0" fontId="136" fillId="30" borderId="58" xfId="0" applyFont="1" applyFill="1" applyBorder="1" applyAlignment="1">
      <alignment vertical="center"/>
    </xf>
    <xf numFmtId="0" fontId="136" fillId="30" borderId="33" xfId="0" applyFont="1" applyFill="1" applyBorder="1" applyAlignment="1">
      <alignment vertical="center"/>
    </xf>
    <xf numFmtId="0" fontId="136" fillId="30" borderId="16" xfId="0" applyFont="1" applyFill="1" applyBorder="1" applyAlignment="1">
      <alignment vertical="center"/>
    </xf>
    <xf numFmtId="0" fontId="77" fillId="30" borderId="65" xfId="196" applyFont="1" applyFill="1" applyBorder="1" applyAlignment="1">
      <alignment horizontal="center" vertical="center" wrapText="1"/>
    </xf>
    <xf numFmtId="0" fontId="77" fillId="30" borderId="44" xfId="196" applyFont="1" applyFill="1" applyBorder="1" applyAlignment="1">
      <alignment horizontal="center" vertical="center" wrapText="1"/>
    </xf>
    <xf numFmtId="0" fontId="77" fillId="30" borderId="55" xfId="196" applyFont="1" applyFill="1" applyBorder="1" applyAlignment="1">
      <alignment horizontal="center" vertical="center" wrapText="1"/>
    </xf>
    <xf numFmtId="0" fontId="77" fillId="30" borderId="16" xfId="196" applyFont="1" applyFill="1" applyBorder="1" applyAlignment="1">
      <alignment horizontal="center" vertical="center" wrapText="1"/>
    </xf>
    <xf numFmtId="0" fontId="77" fillId="30" borderId="43" xfId="196" applyFont="1" applyFill="1" applyBorder="1" applyAlignment="1">
      <alignment horizontal="center" vertical="center" wrapText="1"/>
    </xf>
    <xf numFmtId="0" fontId="77" fillId="30" borderId="33" xfId="196" applyFont="1" applyFill="1" applyBorder="1" applyAlignment="1">
      <alignment horizontal="center" vertical="center" wrapText="1"/>
    </xf>
    <xf numFmtId="0" fontId="68" fillId="30" borderId="40" xfId="196" applyFont="1" applyFill="1" applyBorder="1" applyAlignment="1">
      <alignment horizontal="center" vertical="center" wrapText="1"/>
    </xf>
    <xf numFmtId="0" fontId="75" fillId="30" borderId="44" xfId="196" applyFont="1" applyFill="1" applyBorder="1" applyAlignment="1">
      <alignment vertical="center" wrapText="1"/>
    </xf>
    <xf numFmtId="0" fontId="75" fillId="30" borderId="55" xfId="196" applyFont="1" applyFill="1" applyBorder="1" applyAlignment="1">
      <alignment vertical="center" wrapText="1"/>
    </xf>
    <xf numFmtId="0" fontId="75" fillId="30" borderId="16" xfId="196" applyFont="1" applyFill="1" applyBorder="1" applyAlignment="1">
      <alignment vertical="center" wrapText="1"/>
    </xf>
    <xf numFmtId="0" fontId="77" fillId="30" borderId="40" xfId="196" applyFont="1" applyFill="1" applyBorder="1" applyAlignment="1">
      <alignment horizontal="center" vertical="center" wrapText="1"/>
    </xf>
    <xf numFmtId="0" fontId="77" fillId="30" borderId="7" xfId="196" applyFont="1" applyFill="1" applyBorder="1" applyAlignment="1">
      <alignment horizontal="center" vertical="center" wrapText="1"/>
    </xf>
    <xf numFmtId="0" fontId="77" fillId="30" borderId="118" xfId="196" applyFont="1" applyFill="1" applyBorder="1" applyAlignment="1">
      <alignment horizontal="center" vertical="center" wrapText="1"/>
    </xf>
    <xf numFmtId="0" fontId="77" fillId="30" borderId="116" xfId="196" applyFont="1" applyFill="1" applyBorder="1" applyAlignment="1">
      <alignment horizontal="center" vertical="center" wrapText="1"/>
    </xf>
    <xf numFmtId="0" fontId="77" fillId="30" borderId="57" xfId="196" applyFont="1" applyFill="1" applyBorder="1" applyAlignment="1">
      <alignment horizontal="center" vertical="center" wrapText="1"/>
    </xf>
    <xf numFmtId="0" fontId="77" fillId="30" borderId="7" xfId="155" applyFont="1" applyFill="1" applyBorder="1" applyAlignment="1">
      <alignment horizontal="center" vertical="center" wrapText="1"/>
    </xf>
    <xf numFmtId="0" fontId="77" fillId="30" borderId="7" xfId="155" applyFont="1" applyFill="1" applyBorder="1" applyAlignment="1">
      <alignment horizontal="center" vertical="center"/>
    </xf>
    <xf numFmtId="0" fontId="94" fillId="0" borderId="0" xfId="196" applyFont="1" applyFill="1" applyBorder="1" applyAlignment="1">
      <alignment horizontal="right" vertical="center" wrapText="1"/>
    </xf>
    <xf numFmtId="0" fontId="56" fillId="0" borderId="0" xfId="196" applyFont="1" applyFill="1" applyBorder="1" applyAlignment="1">
      <alignment horizontal="right" vertical="center" wrapText="1"/>
    </xf>
    <xf numFmtId="0" fontId="91" fillId="0" borderId="0" xfId="196" applyFont="1" applyAlignment="1">
      <alignment horizontal="left" vertical="center" wrapText="1"/>
    </xf>
    <xf numFmtId="0" fontId="87" fillId="0" borderId="8" xfId="196" applyFont="1" applyFill="1" applyBorder="1" applyAlignment="1">
      <alignment horizontal="left" vertical="center" wrapText="1"/>
    </xf>
    <xf numFmtId="0" fontId="87" fillId="0" borderId="23" xfId="196" applyFont="1" applyFill="1" applyBorder="1" applyAlignment="1">
      <alignment horizontal="left" vertical="center" wrapText="1"/>
    </xf>
    <xf numFmtId="0" fontId="87" fillId="0" borderId="36" xfId="196" applyFont="1" applyFill="1" applyBorder="1" applyAlignment="1">
      <alignment horizontal="left" vertical="center" wrapText="1"/>
    </xf>
    <xf numFmtId="0" fontId="71" fillId="31" borderId="23" xfId="196" applyFont="1" applyFill="1" applyBorder="1" applyAlignment="1">
      <alignment horizontal="left" vertical="center" wrapText="1"/>
    </xf>
    <xf numFmtId="0" fontId="71" fillId="31" borderId="36" xfId="196" applyFont="1" applyFill="1" applyBorder="1" applyAlignment="1">
      <alignment horizontal="left" vertical="center" wrapText="1"/>
    </xf>
    <xf numFmtId="0" fontId="93" fillId="0" borderId="8" xfId="196" applyFont="1" applyFill="1" applyBorder="1" applyAlignment="1">
      <alignment horizontal="left" vertical="center" wrapText="1"/>
    </xf>
    <xf numFmtId="0" fontId="93" fillId="0" borderId="23" xfId="196" applyFont="1" applyFill="1" applyBorder="1" applyAlignment="1">
      <alignment horizontal="left" vertical="center" wrapText="1"/>
    </xf>
    <xf numFmtId="0" fontId="93" fillId="0" borderId="36" xfId="196" applyFont="1" applyFill="1" applyBorder="1" applyAlignment="1">
      <alignment horizontal="left" vertical="center" wrapText="1"/>
    </xf>
    <xf numFmtId="0" fontId="93" fillId="0" borderId="49" xfId="196" applyFont="1" applyFill="1" applyBorder="1" applyAlignment="1">
      <alignment horizontal="left" vertical="center" wrapText="1"/>
    </xf>
    <xf numFmtId="9" fontId="77" fillId="30" borderId="53" xfId="196" applyNumberFormat="1" applyFont="1" applyFill="1" applyBorder="1" applyAlignment="1">
      <alignment horizontal="center" vertical="center" wrapText="1"/>
    </xf>
    <xf numFmtId="0" fontId="77" fillId="30" borderId="8" xfId="163" applyFont="1" applyFill="1" applyBorder="1" applyAlignment="1">
      <alignment horizontal="center" vertical="center" wrapText="1"/>
    </xf>
    <xf numFmtId="0" fontId="77" fillId="30" borderId="23" xfId="163" applyFont="1" applyFill="1" applyBorder="1" applyAlignment="1">
      <alignment horizontal="center" vertical="center"/>
    </xf>
    <xf numFmtId="0" fontId="136" fillId="30" borderId="36" xfId="0" applyFont="1" applyFill="1" applyBorder="1" applyAlignment="1">
      <alignment horizontal="center" vertical="center"/>
    </xf>
    <xf numFmtId="0" fontId="77" fillId="30" borderId="56" xfId="163" applyFont="1" applyFill="1" applyBorder="1" applyAlignment="1">
      <alignment horizontal="center" vertical="center" wrapText="1"/>
    </xf>
    <xf numFmtId="0" fontId="77" fillId="30" borderId="46" xfId="163" applyFont="1" applyFill="1" applyBorder="1" applyAlignment="1">
      <alignment horizontal="center" vertical="center"/>
    </xf>
    <xf numFmtId="0" fontId="87" fillId="37" borderId="8" xfId="163" applyFont="1" applyFill="1" applyBorder="1" applyAlignment="1">
      <alignment horizontal="left" vertical="center" wrapText="1"/>
    </xf>
    <xf numFmtId="0" fontId="87" fillId="37" borderId="23" xfId="163" applyFont="1" applyFill="1" applyBorder="1" applyAlignment="1">
      <alignment horizontal="left" vertical="center" wrapText="1"/>
    </xf>
    <xf numFmtId="0" fontId="87" fillId="37" borderId="49" xfId="163" applyFont="1" applyFill="1" applyBorder="1" applyAlignment="1">
      <alignment horizontal="left" vertical="center" wrapText="1"/>
    </xf>
    <xf numFmtId="0" fontId="77" fillId="30" borderId="40" xfId="163" applyFont="1" applyFill="1" applyBorder="1" applyAlignment="1">
      <alignment horizontal="center" vertical="center" wrapText="1"/>
    </xf>
    <xf numFmtId="0" fontId="77" fillId="30" borderId="7" xfId="163" applyFont="1" applyFill="1" applyBorder="1" applyAlignment="1">
      <alignment horizontal="center" vertical="center" wrapText="1"/>
    </xf>
    <xf numFmtId="9" fontId="77" fillId="30" borderId="7" xfId="163" applyNumberFormat="1" applyFont="1" applyFill="1" applyBorder="1" applyAlignment="1">
      <alignment horizontal="center" vertical="center" wrapText="1"/>
    </xf>
    <xf numFmtId="0" fontId="71" fillId="31" borderId="17" xfId="163" applyFont="1" applyFill="1" applyBorder="1" applyAlignment="1">
      <alignment horizontal="left" vertical="center" wrapText="1"/>
    </xf>
    <xf numFmtId="0" fontId="71" fillId="31" borderId="14" xfId="163" applyFont="1" applyFill="1" applyBorder="1" applyAlignment="1">
      <alignment horizontal="left" vertical="center" wrapText="1"/>
    </xf>
    <xf numFmtId="0" fontId="93" fillId="0" borderId="23" xfId="163" applyFont="1" applyFill="1" applyBorder="1" applyAlignment="1">
      <alignment horizontal="left" vertical="center" wrapText="1"/>
    </xf>
    <xf numFmtId="0" fontId="93" fillId="0" borderId="36" xfId="163" applyFont="1" applyFill="1" applyBorder="1" applyAlignment="1">
      <alignment horizontal="left" vertical="center" wrapText="1"/>
    </xf>
    <xf numFmtId="9" fontId="77" fillId="30" borderId="27" xfId="163" applyNumberFormat="1" applyFont="1" applyFill="1" applyBorder="1" applyAlignment="1">
      <alignment horizontal="center" vertical="center" wrapText="1"/>
    </xf>
    <xf numFmtId="0" fontId="77" fillId="30" borderId="27" xfId="163" applyFont="1" applyFill="1" applyBorder="1" applyAlignment="1">
      <alignment vertical="center"/>
    </xf>
    <xf numFmtId="9" fontId="77" fillId="30" borderId="14" xfId="163" applyNumberFormat="1" applyFont="1" applyFill="1" applyBorder="1" applyAlignment="1">
      <alignment horizontal="center" vertical="center" wrapText="1"/>
    </xf>
    <xf numFmtId="0" fontId="77" fillId="30" borderId="7" xfId="163" applyFont="1" applyFill="1" applyBorder="1" applyAlignment="1">
      <alignment vertical="center"/>
    </xf>
    <xf numFmtId="0" fontId="87" fillId="0" borderId="17" xfId="163" applyFont="1" applyFill="1" applyBorder="1" applyAlignment="1">
      <alignment horizontal="left" vertical="center" wrapText="1"/>
    </xf>
    <xf numFmtId="0" fontId="87" fillId="0" borderId="14" xfId="163" applyFont="1" applyFill="1" applyBorder="1" applyAlignment="1">
      <alignment horizontal="left" vertical="center" wrapText="1"/>
    </xf>
    <xf numFmtId="0" fontId="71" fillId="0" borderId="23" xfId="163" applyFont="1" applyFill="1" applyBorder="1" applyAlignment="1">
      <alignment horizontal="left" vertical="center" wrapText="1"/>
    </xf>
    <xf numFmtId="0" fontId="71" fillId="0" borderId="36" xfId="163" applyFont="1" applyFill="1" applyBorder="1" applyAlignment="1">
      <alignment horizontal="left" vertical="center" wrapText="1"/>
    </xf>
    <xf numFmtId="0" fontId="71" fillId="0" borderId="61" xfId="163" applyFont="1" applyFill="1" applyBorder="1" applyAlignment="1">
      <alignment horizontal="left" vertical="center" wrapText="1"/>
    </xf>
    <xf numFmtId="0" fontId="71" fillId="0" borderId="24" xfId="163" applyFont="1" applyFill="1" applyBorder="1" applyAlignment="1">
      <alignment horizontal="left" vertical="center" wrapText="1"/>
    </xf>
    <xf numFmtId="0" fontId="71" fillId="31" borderId="23" xfId="163" applyFont="1" applyFill="1" applyBorder="1" applyAlignment="1">
      <alignment horizontal="left" vertical="center" wrapText="1"/>
    </xf>
    <xf numFmtId="0" fontId="71" fillId="31" borderId="36" xfId="163" applyFont="1" applyFill="1" applyBorder="1" applyAlignment="1">
      <alignment horizontal="left" vertical="center" wrapText="1"/>
    </xf>
    <xf numFmtId="0" fontId="89" fillId="30" borderId="51" xfId="163" applyFont="1" applyFill="1" applyBorder="1" applyAlignment="1">
      <alignment vertical="center"/>
    </xf>
    <xf numFmtId="0" fontId="131" fillId="30" borderId="43" xfId="0" applyFont="1" applyFill="1" applyBorder="1" applyAlignment="1">
      <alignment vertical="center"/>
    </xf>
    <xf numFmtId="0" fontId="131" fillId="30" borderId="44" xfId="0" applyFont="1" applyFill="1" applyBorder="1" applyAlignment="1">
      <alignment vertical="center"/>
    </xf>
    <xf numFmtId="0" fontId="131" fillId="30" borderId="52" xfId="0" applyFont="1" applyFill="1" applyBorder="1" applyAlignment="1">
      <alignment vertical="center"/>
    </xf>
    <xf numFmtId="0" fontId="131" fillId="30" borderId="0" xfId="0" applyFont="1" applyFill="1" applyBorder="1" applyAlignment="1">
      <alignment vertical="center"/>
    </xf>
    <xf numFmtId="0" fontId="131" fillId="30" borderId="15" xfId="0" applyFont="1" applyFill="1" applyBorder="1" applyAlignment="1">
      <alignment vertical="center"/>
    </xf>
    <xf numFmtId="0" fontId="131" fillId="30" borderId="58" xfId="0" applyFont="1" applyFill="1" applyBorder="1" applyAlignment="1">
      <alignment vertical="center"/>
    </xf>
    <xf numFmtId="0" fontId="131" fillId="30" borderId="33" xfId="0" applyFont="1" applyFill="1" applyBorder="1" applyAlignment="1">
      <alignment vertical="center"/>
    </xf>
    <xf numFmtId="0" fontId="131" fillId="30" borderId="16" xfId="0" applyFont="1" applyFill="1" applyBorder="1" applyAlignment="1">
      <alignment vertical="center"/>
    </xf>
    <xf numFmtId="0" fontId="87" fillId="0" borderId="8" xfId="163" applyFont="1" applyFill="1" applyBorder="1" applyAlignment="1">
      <alignment horizontal="left" vertical="center" wrapText="1"/>
    </xf>
    <xf numFmtId="0" fontId="87" fillId="0" borderId="23" xfId="163" applyFont="1" applyFill="1" applyBorder="1" applyAlignment="1">
      <alignment horizontal="left" vertical="center" wrapText="1"/>
    </xf>
    <xf numFmtId="0" fontId="87" fillId="0" borderId="49" xfId="163" applyFont="1" applyFill="1" applyBorder="1" applyAlignment="1">
      <alignment horizontal="left" vertical="center" wrapText="1"/>
    </xf>
    <xf numFmtId="0" fontId="77" fillId="30" borderId="65" xfId="163" applyFont="1" applyFill="1" applyBorder="1" applyAlignment="1">
      <alignment horizontal="center" vertical="center" wrapText="1"/>
    </xf>
    <xf numFmtId="0" fontId="77" fillId="30" borderId="44" xfId="163" applyFont="1" applyFill="1" applyBorder="1" applyAlignment="1">
      <alignment horizontal="center" vertical="center" wrapText="1"/>
    </xf>
    <xf numFmtId="0" fontId="77" fillId="30" borderId="55" xfId="163" applyFont="1" applyFill="1" applyBorder="1" applyAlignment="1">
      <alignment horizontal="center" vertical="center" wrapText="1"/>
    </xf>
    <xf numFmtId="0" fontId="77" fillId="30" borderId="16" xfId="163" applyFont="1" applyFill="1" applyBorder="1" applyAlignment="1">
      <alignment horizontal="center" vertical="center" wrapText="1"/>
    </xf>
    <xf numFmtId="0" fontId="77" fillId="30" borderId="118" xfId="163" applyFont="1" applyFill="1" applyBorder="1" applyAlignment="1">
      <alignment horizontal="center" vertical="center" wrapText="1"/>
    </xf>
    <xf numFmtId="0" fontId="77" fillId="30" borderId="116" xfId="163" applyFont="1" applyFill="1" applyBorder="1" applyAlignment="1">
      <alignment horizontal="center" vertical="center" wrapText="1"/>
    </xf>
    <xf numFmtId="0" fontId="77" fillId="30" borderId="57" xfId="163" applyFont="1" applyFill="1" applyBorder="1" applyAlignment="1">
      <alignment horizontal="center" vertical="center" wrapText="1"/>
    </xf>
    <xf numFmtId="0" fontId="83" fillId="30" borderId="27" xfId="0" applyFont="1" applyFill="1" applyBorder="1" applyAlignment="1">
      <alignment horizontal="center" vertical="center"/>
    </xf>
    <xf numFmtId="0" fontId="136" fillId="30" borderId="13" xfId="0" applyFont="1" applyFill="1" applyBorder="1" applyAlignment="1">
      <alignment vertical="center"/>
    </xf>
    <xf numFmtId="0" fontId="60" fillId="30" borderId="30" xfId="159" applyFont="1" applyFill="1" applyBorder="1" applyAlignment="1">
      <alignment horizontal="left" vertical="center" indent="1"/>
    </xf>
    <xf numFmtId="0" fontId="60" fillId="30" borderId="31" xfId="159" applyFont="1" applyFill="1" applyBorder="1" applyAlignment="1">
      <alignment horizontal="left" vertical="center" indent="1"/>
    </xf>
    <xf numFmtId="0" fontId="60" fillId="30" borderId="32" xfId="159" applyFont="1" applyFill="1" applyBorder="1" applyAlignment="1">
      <alignment horizontal="left" vertical="center" indent="1"/>
    </xf>
    <xf numFmtId="0" fontId="67" fillId="0" borderId="8" xfId="159" applyFont="1" applyFill="1" applyBorder="1" applyAlignment="1">
      <alignment horizontal="left" vertical="center" indent="1"/>
    </xf>
    <xf numFmtId="0" fontId="67" fillId="0" borderId="23" xfId="159" applyFont="1" applyFill="1" applyBorder="1" applyAlignment="1">
      <alignment horizontal="left" vertical="center" indent="1"/>
    </xf>
    <xf numFmtId="0" fontId="67" fillId="0" borderId="36" xfId="159" applyFont="1" applyFill="1" applyBorder="1" applyAlignment="1">
      <alignment horizontal="left" vertical="center" indent="1"/>
    </xf>
    <xf numFmtId="0" fontId="83" fillId="30" borderId="43" xfId="159" applyFont="1" applyFill="1" applyBorder="1" applyAlignment="1">
      <alignment horizontal="center" vertical="center"/>
    </xf>
    <xf numFmtId="0" fontId="83" fillId="30" borderId="46" xfId="159" applyFont="1" applyFill="1" applyBorder="1" applyAlignment="1">
      <alignment horizontal="center" vertical="center"/>
    </xf>
    <xf numFmtId="0" fontId="83" fillId="30" borderId="45" xfId="159" applyFont="1" applyFill="1" applyBorder="1" applyAlignment="1">
      <alignment horizontal="center" vertical="center"/>
    </xf>
    <xf numFmtId="0" fontId="83" fillId="30" borderId="63" xfId="159" applyFont="1" applyFill="1" applyBorder="1" applyAlignment="1">
      <alignment horizontal="center" vertical="center" wrapText="1"/>
    </xf>
    <xf numFmtId="0" fontId="83" fillId="30" borderId="28" xfId="159" applyFont="1" applyFill="1" applyBorder="1" applyAlignment="1">
      <alignment horizontal="center" vertical="center" wrapText="1"/>
    </xf>
    <xf numFmtId="0" fontId="83" fillId="30" borderId="13" xfId="159" applyFont="1" applyFill="1" applyBorder="1" applyAlignment="1">
      <alignment horizontal="center" vertical="center" wrapText="1"/>
    </xf>
    <xf numFmtId="0" fontId="83" fillId="30" borderId="118" xfId="159" applyFont="1" applyFill="1" applyBorder="1" applyAlignment="1">
      <alignment horizontal="center" vertical="center" wrapText="1"/>
    </xf>
    <xf numFmtId="0" fontId="83" fillId="30" borderId="116" xfId="159" applyFont="1" applyFill="1" applyBorder="1" applyAlignment="1">
      <alignment horizontal="center" vertical="center" wrapText="1"/>
    </xf>
    <xf numFmtId="0" fontId="83" fillId="30" borderId="57" xfId="159" applyFont="1" applyFill="1" applyBorder="1" applyAlignment="1">
      <alignment horizontal="center" vertical="center" wrapText="1"/>
    </xf>
    <xf numFmtId="0" fontId="83" fillId="30" borderId="8" xfId="159" applyFont="1" applyFill="1" applyBorder="1" applyAlignment="1">
      <alignment horizontal="center" vertical="center"/>
    </xf>
    <xf numFmtId="0" fontId="83" fillId="30" borderId="23" xfId="159" applyFont="1" applyFill="1" applyBorder="1" applyAlignment="1">
      <alignment horizontal="center" vertical="center"/>
    </xf>
    <xf numFmtId="0" fontId="83" fillId="30" borderId="53" xfId="159" applyFont="1" applyFill="1" applyBorder="1" applyAlignment="1">
      <alignment horizontal="center" vertical="center" wrapText="1"/>
    </xf>
    <xf numFmtId="0" fontId="83" fillId="30" borderId="14" xfId="159" applyFont="1" applyFill="1" applyBorder="1" applyAlignment="1">
      <alignment horizontal="center" vertical="center" wrapText="1"/>
    </xf>
    <xf numFmtId="0" fontId="83" fillId="30" borderId="55" xfId="159" applyFont="1" applyFill="1" applyBorder="1" applyAlignment="1">
      <alignment horizontal="center" vertical="center" wrapText="1"/>
    </xf>
    <xf numFmtId="0" fontId="83" fillId="30" borderId="16" xfId="159" applyFont="1" applyFill="1" applyBorder="1" applyAlignment="1">
      <alignment horizontal="center" vertical="center" wrapText="1"/>
    </xf>
    <xf numFmtId="0" fontId="83" fillId="30" borderId="15" xfId="159" applyFont="1" applyFill="1" applyBorder="1" applyAlignment="1">
      <alignment horizontal="center" vertical="center" wrapText="1"/>
    </xf>
    <xf numFmtId="0" fontId="68" fillId="30" borderId="30" xfId="159" applyFont="1" applyFill="1" applyBorder="1" applyAlignment="1">
      <alignment horizontal="left" vertical="center" indent="1"/>
    </xf>
    <xf numFmtId="0" fontId="68" fillId="30" borderId="31" xfId="159" applyFont="1" applyFill="1" applyBorder="1" applyAlignment="1">
      <alignment horizontal="left" vertical="center" indent="1"/>
    </xf>
    <xf numFmtId="0" fontId="68" fillId="30" borderId="32" xfId="159" applyFont="1" applyFill="1" applyBorder="1" applyAlignment="1">
      <alignment horizontal="left" vertical="center" indent="1"/>
    </xf>
    <xf numFmtId="0" fontId="56" fillId="30" borderId="51" xfId="159" applyFont="1" applyFill="1" applyBorder="1" applyAlignment="1">
      <alignment horizontal="center"/>
    </xf>
    <xf numFmtId="0" fontId="131" fillId="30" borderId="43" xfId="0" applyFont="1" applyFill="1" applyBorder="1" applyAlignment="1"/>
    <xf numFmtId="0" fontId="131" fillId="30" borderId="52" xfId="0" applyFont="1" applyFill="1" applyBorder="1" applyAlignment="1"/>
    <xf numFmtId="0" fontId="131" fillId="30" borderId="0" xfId="0" applyFont="1" applyFill="1" applyAlignment="1"/>
    <xf numFmtId="0" fontId="83" fillId="30" borderId="65" xfId="159" applyFont="1" applyFill="1" applyBorder="1" applyAlignment="1">
      <alignment horizontal="center" vertical="center"/>
    </xf>
    <xf numFmtId="0" fontId="83" fillId="30" borderId="44" xfId="159" applyFont="1" applyFill="1" applyBorder="1" applyAlignment="1">
      <alignment horizontal="center" vertical="center"/>
    </xf>
    <xf numFmtId="0" fontId="83" fillId="30" borderId="50" xfId="159" applyFont="1" applyFill="1" applyBorder="1" applyAlignment="1">
      <alignment horizontal="center" vertical="center"/>
    </xf>
    <xf numFmtId="0" fontId="83" fillId="30" borderId="15" xfId="159" applyFont="1" applyFill="1" applyBorder="1" applyAlignment="1">
      <alignment horizontal="center" vertical="center"/>
    </xf>
    <xf numFmtId="0" fontId="83" fillId="30" borderId="55" xfId="159" applyFont="1" applyFill="1" applyBorder="1" applyAlignment="1">
      <alignment horizontal="center" vertical="center"/>
    </xf>
    <xf numFmtId="0" fontId="83" fillId="30" borderId="16" xfId="159" applyFont="1" applyFill="1" applyBorder="1" applyAlignment="1">
      <alignment horizontal="center" vertical="center"/>
    </xf>
    <xf numFmtId="0" fontId="83" fillId="30" borderId="44" xfId="159" applyFont="1" applyFill="1" applyBorder="1" applyAlignment="1"/>
    <xf numFmtId="0" fontId="83" fillId="30" borderId="15" xfId="159" applyFont="1" applyFill="1" applyBorder="1" applyAlignment="1"/>
    <xf numFmtId="0" fontId="83" fillId="30" borderId="16" xfId="159" applyFont="1" applyFill="1" applyBorder="1" applyAlignment="1"/>
    <xf numFmtId="0" fontId="83" fillId="37" borderId="65" xfId="159" applyFont="1" applyFill="1" applyBorder="1" applyAlignment="1">
      <alignment horizontal="center" vertical="center" wrapText="1"/>
    </xf>
    <xf numFmtId="0" fontId="83" fillId="37" borderId="43" xfId="159" applyFont="1" applyFill="1" applyBorder="1" applyAlignment="1"/>
    <xf numFmtId="0" fontId="83" fillId="37" borderId="50" xfId="159" applyFont="1" applyFill="1" applyBorder="1" applyAlignment="1"/>
    <xf numFmtId="0" fontId="83" fillId="37" borderId="0" xfId="159" applyFont="1" applyFill="1" applyBorder="1" applyAlignment="1"/>
    <xf numFmtId="0" fontId="83" fillId="37" borderId="55" xfId="159" applyFont="1" applyFill="1" applyBorder="1" applyAlignment="1"/>
    <xf numFmtId="0" fontId="83" fillId="37" borderId="33" xfId="159" applyFont="1" applyFill="1" applyBorder="1" applyAlignment="1"/>
    <xf numFmtId="0" fontId="67" fillId="37" borderId="8" xfId="159" applyFont="1" applyFill="1" applyBorder="1" applyAlignment="1">
      <alignment horizontal="left" vertical="center" indent="2"/>
    </xf>
    <xf numFmtId="0" fontId="67" fillId="37" borderId="23" xfId="159" applyFont="1" applyFill="1" applyBorder="1" applyAlignment="1">
      <alignment horizontal="left" vertical="center" indent="2"/>
    </xf>
    <xf numFmtId="0" fontId="67" fillId="37" borderId="36" xfId="159" applyFont="1" applyFill="1" applyBorder="1" applyAlignment="1">
      <alignment horizontal="left" vertical="center" indent="2"/>
    </xf>
    <xf numFmtId="0" fontId="83" fillId="37" borderId="64" xfId="159" applyFont="1" applyFill="1" applyBorder="1" applyAlignment="1">
      <alignment horizontal="left" vertical="center"/>
    </xf>
    <xf numFmtId="0" fontId="131" fillId="37" borderId="23" xfId="0" applyFont="1" applyFill="1" applyBorder="1" applyAlignment="1"/>
    <xf numFmtId="0" fontId="131" fillId="37" borderId="49" xfId="0" applyFont="1" applyFill="1" applyBorder="1" applyAlignment="1"/>
    <xf numFmtId="0" fontId="83" fillId="30" borderId="119" xfId="159" applyFont="1" applyFill="1" applyBorder="1" applyAlignment="1">
      <alignment horizontal="center" vertical="center" wrapText="1"/>
    </xf>
    <xf numFmtId="0" fontId="83" fillId="30" borderId="26" xfId="159" applyFont="1" applyFill="1" applyBorder="1" applyAlignment="1">
      <alignment horizontal="center" vertical="center" wrapText="1"/>
    </xf>
    <xf numFmtId="0" fontId="83" fillId="30" borderId="120" xfId="159" applyFont="1" applyFill="1" applyBorder="1" applyAlignment="1">
      <alignment horizontal="center" vertical="center" wrapText="1"/>
    </xf>
    <xf numFmtId="0" fontId="67" fillId="37" borderId="8" xfId="159" applyFont="1" applyFill="1" applyBorder="1" applyAlignment="1">
      <alignment horizontal="left" vertical="center" wrapText="1" indent="2"/>
    </xf>
    <xf numFmtId="0" fontId="67" fillId="37" borderId="23" xfId="159" applyFont="1" applyFill="1" applyBorder="1" applyAlignment="1">
      <alignment horizontal="left" vertical="center" wrapText="1" indent="2"/>
    </xf>
    <xf numFmtId="0" fontId="67" fillId="37" borderId="36" xfId="159" applyFont="1" applyFill="1" applyBorder="1" applyAlignment="1">
      <alignment horizontal="left" vertical="center" wrapText="1" indent="2"/>
    </xf>
    <xf numFmtId="0" fontId="83" fillId="37" borderId="8" xfId="159" applyFont="1" applyFill="1" applyBorder="1" applyAlignment="1">
      <alignment horizontal="left" vertical="center"/>
    </xf>
    <xf numFmtId="0" fontId="83" fillId="37" borderId="23" xfId="159" applyFont="1" applyFill="1" applyBorder="1" applyAlignment="1">
      <alignment horizontal="left" vertical="center"/>
    </xf>
    <xf numFmtId="0" fontId="83" fillId="37" borderId="36" xfId="159" applyFont="1" applyFill="1" applyBorder="1" applyAlignment="1">
      <alignment horizontal="left" vertical="center"/>
    </xf>
    <xf numFmtId="0" fontId="67" fillId="37" borderId="8" xfId="159" applyFont="1" applyFill="1" applyBorder="1" applyAlignment="1">
      <alignment horizontal="left" vertical="center" indent="3"/>
    </xf>
    <xf numFmtId="0" fontId="67" fillId="37" borderId="23" xfId="159" applyFont="1" applyFill="1" applyBorder="1" applyAlignment="1">
      <alignment horizontal="left" vertical="center" indent="3"/>
    </xf>
    <xf numFmtId="0" fontId="67" fillId="37" borderId="36" xfId="159" applyFont="1" applyFill="1" applyBorder="1" applyAlignment="1">
      <alignment horizontal="left" vertical="center" indent="3"/>
    </xf>
    <xf numFmtId="0" fontId="123" fillId="30" borderId="30" xfId="159" applyFont="1" applyFill="1" applyBorder="1" applyAlignment="1">
      <alignment horizontal="left" vertical="center" indent="1"/>
    </xf>
    <xf numFmtId="0" fontId="123" fillId="30" borderId="31" xfId="159" applyFont="1" applyFill="1" applyBorder="1" applyAlignment="1">
      <alignment horizontal="left" vertical="center" indent="1"/>
    </xf>
    <xf numFmtId="0" fontId="123" fillId="30" borderId="32" xfId="159" applyFont="1" applyFill="1" applyBorder="1" applyAlignment="1">
      <alignment horizontal="left" vertical="center" indent="1"/>
    </xf>
    <xf numFmtId="0" fontId="5" fillId="30" borderId="118" xfId="159" applyFont="1" applyFill="1" applyBorder="1" applyAlignment="1">
      <alignment horizontal="center" vertical="center" wrapText="1"/>
    </xf>
    <xf numFmtId="0" fontId="5" fillId="30" borderId="116" xfId="159" applyFont="1" applyFill="1" applyBorder="1" applyAlignment="1">
      <alignment horizontal="center" vertical="center" wrapText="1"/>
    </xf>
    <xf numFmtId="0" fontId="5" fillId="30" borderId="57" xfId="159" applyFont="1" applyFill="1" applyBorder="1" applyAlignment="1">
      <alignment horizontal="center" vertical="center" wrapText="1"/>
    </xf>
    <xf numFmtId="0" fontId="5" fillId="30" borderId="27" xfId="159" applyFont="1" applyFill="1" applyBorder="1" applyAlignment="1">
      <alignment horizontal="center" vertical="center"/>
    </xf>
    <xf numFmtId="0" fontId="136" fillId="30" borderId="28" xfId="0" applyFont="1" applyFill="1" applyBorder="1" applyAlignment="1">
      <alignment horizontal="center" vertical="center"/>
    </xf>
    <xf numFmtId="0" fontId="5" fillId="30" borderId="27" xfId="159" applyFont="1" applyFill="1" applyBorder="1" applyAlignment="1">
      <alignment horizontal="center" vertical="center" wrapText="1"/>
    </xf>
    <xf numFmtId="0" fontId="5" fillId="30" borderId="56" xfId="159" applyFont="1" applyFill="1" applyBorder="1" applyAlignment="1">
      <alignment horizontal="center" vertical="center"/>
    </xf>
    <xf numFmtId="0" fontId="5" fillId="30" borderId="46" xfId="159" applyFont="1" applyFill="1" applyBorder="1" applyAlignment="1">
      <alignment horizontal="center" vertical="center"/>
    </xf>
    <xf numFmtId="0" fontId="5" fillId="30" borderId="65" xfId="159" applyFont="1" applyFill="1" applyBorder="1" applyAlignment="1">
      <alignment horizontal="center" vertical="center" wrapText="1"/>
    </xf>
    <xf numFmtId="0" fontId="5" fillId="30" borderId="44" xfId="159" applyFont="1" applyFill="1" applyBorder="1" applyAlignment="1">
      <alignment horizontal="center" vertical="center" wrapText="1"/>
    </xf>
    <xf numFmtId="0" fontId="5" fillId="30" borderId="50" xfId="159" applyFont="1" applyFill="1" applyBorder="1" applyAlignment="1">
      <alignment horizontal="center" vertical="center" wrapText="1"/>
    </xf>
    <xf numFmtId="0" fontId="5" fillId="30" borderId="15" xfId="159" applyFont="1" applyFill="1" applyBorder="1" applyAlignment="1">
      <alignment horizontal="center" vertical="center" wrapText="1"/>
    </xf>
    <xf numFmtId="0" fontId="5" fillId="30" borderId="55" xfId="159" applyFont="1" applyFill="1" applyBorder="1" applyAlignment="1">
      <alignment horizontal="center" vertical="center" wrapText="1"/>
    </xf>
    <xf numFmtId="0" fontId="5" fillId="30" borderId="16" xfId="159" applyFont="1" applyFill="1" applyBorder="1" applyAlignment="1">
      <alignment horizontal="center" vertical="center" wrapText="1"/>
    </xf>
    <xf numFmtId="0" fontId="5" fillId="30" borderId="63" xfId="159" applyFont="1" applyFill="1" applyBorder="1" applyAlignment="1">
      <alignment horizontal="center" vertical="center" wrapText="1"/>
    </xf>
    <xf numFmtId="0" fontId="5" fillId="30" borderId="28" xfId="159" applyFont="1" applyFill="1" applyBorder="1" applyAlignment="1"/>
    <xf numFmtId="0" fontId="5" fillId="30" borderId="13" xfId="159" applyFont="1" applyFill="1" applyBorder="1" applyAlignment="1"/>
    <xf numFmtId="0" fontId="5" fillId="30" borderId="28" xfId="159" applyFont="1" applyFill="1" applyBorder="1" applyAlignment="1">
      <alignment horizontal="center" vertical="center" wrapText="1"/>
    </xf>
    <xf numFmtId="0" fontId="5" fillId="30" borderId="13" xfId="159" applyFont="1" applyFill="1" applyBorder="1" applyAlignment="1">
      <alignment horizontal="center" vertical="center" wrapText="1"/>
    </xf>
    <xf numFmtId="0" fontId="67" fillId="0" borderId="0" xfId="175" applyFont="1" applyFill="1" applyBorder="1" applyAlignment="1">
      <alignment horizontal="center" vertical="center"/>
    </xf>
    <xf numFmtId="0" fontId="57" fillId="30" borderId="56" xfId="175" applyFont="1" applyFill="1" applyBorder="1" applyAlignment="1">
      <alignment horizontal="center" vertical="center" wrapText="1"/>
    </xf>
    <xf numFmtId="0" fontId="57" fillId="30" borderId="45" xfId="175" applyFont="1" applyFill="1" applyBorder="1" applyAlignment="1">
      <alignment horizontal="center" vertical="center" wrapText="1"/>
    </xf>
    <xf numFmtId="0" fontId="67" fillId="30" borderId="51" xfId="175" applyFont="1" applyFill="1" applyBorder="1" applyAlignment="1">
      <alignment horizontal="center" vertical="center"/>
    </xf>
    <xf numFmtId="0" fontId="67" fillId="30" borderId="43" xfId="175" applyFont="1" applyFill="1" applyBorder="1" applyAlignment="1">
      <alignment horizontal="center" vertical="center"/>
    </xf>
    <xf numFmtId="0" fontId="67" fillId="30" borderId="44" xfId="175" applyFont="1" applyFill="1" applyBorder="1" applyAlignment="1">
      <alignment horizontal="center" vertical="center"/>
    </xf>
    <xf numFmtId="0" fontId="67" fillId="30" borderId="52" xfId="175" applyFont="1" applyFill="1" applyBorder="1" applyAlignment="1">
      <alignment horizontal="center" vertical="center"/>
    </xf>
    <xf numFmtId="0" fontId="67" fillId="30" borderId="0" xfId="175" applyFont="1" applyFill="1" applyBorder="1" applyAlignment="1">
      <alignment horizontal="center" vertical="center"/>
    </xf>
    <xf numFmtId="0" fontId="67" fillId="30" borderId="15" xfId="175" applyFont="1" applyFill="1" applyBorder="1" applyAlignment="1">
      <alignment horizontal="center" vertical="center"/>
    </xf>
    <xf numFmtId="0" fontId="67" fillId="30" borderId="58" xfId="175" applyFont="1" applyFill="1" applyBorder="1" applyAlignment="1">
      <alignment horizontal="center" vertical="center"/>
    </xf>
    <xf numFmtId="0" fontId="67" fillId="30" borderId="33" xfId="175" applyFont="1" applyFill="1" applyBorder="1" applyAlignment="1">
      <alignment horizontal="center" vertical="center"/>
    </xf>
    <xf numFmtId="0" fontId="67" fillId="30" borderId="16" xfId="175" applyFont="1" applyFill="1" applyBorder="1" applyAlignment="1">
      <alignment horizontal="center" vertical="center"/>
    </xf>
    <xf numFmtId="0" fontId="57" fillId="0" borderId="7" xfId="175" applyFont="1" applyFill="1" applyBorder="1" applyAlignment="1">
      <alignment horizontal="left" vertical="center" wrapText="1"/>
    </xf>
    <xf numFmtId="0" fontId="57" fillId="0" borderId="41" xfId="175" applyFont="1" applyFill="1" applyBorder="1" applyAlignment="1">
      <alignment horizontal="left" vertical="center" wrapText="1"/>
    </xf>
    <xf numFmtId="0" fontId="57" fillId="31" borderId="7" xfId="175" applyFont="1" applyFill="1" applyBorder="1" applyAlignment="1">
      <alignment horizontal="left" vertical="center" wrapText="1" indent="1"/>
    </xf>
    <xf numFmtId="0" fontId="57" fillId="31" borderId="7" xfId="175" applyFont="1" applyFill="1" applyBorder="1" applyAlignment="1">
      <alignment horizontal="left" vertical="center" wrapText="1" indent="4"/>
    </xf>
    <xf numFmtId="0" fontId="57" fillId="31" borderId="7" xfId="175" applyFont="1" applyFill="1" applyBorder="1" applyAlignment="1">
      <alignment horizontal="left" vertical="center" wrapText="1"/>
    </xf>
    <xf numFmtId="0" fontId="57" fillId="30" borderId="63" xfId="175" quotePrefix="1" applyFont="1" applyFill="1" applyBorder="1" applyAlignment="1">
      <alignment horizontal="center" vertical="center" wrapText="1"/>
    </xf>
    <xf numFmtId="0" fontId="57" fillId="30" borderId="13" xfId="175" quotePrefix="1" applyFont="1" applyFill="1" applyBorder="1" applyAlignment="1">
      <alignment horizontal="center" vertical="center" wrapText="1"/>
    </xf>
    <xf numFmtId="0" fontId="57" fillId="30" borderId="63" xfId="175" applyFont="1" applyFill="1" applyBorder="1" applyAlignment="1">
      <alignment horizontal="center" vertical="center" wrapText="1"/>
    </xf>
    <xf numFmtId="0" fontId="57" fillId="30" borderId="13" xfId="175" applyFont="1" applyFill="1" applyBorder="1" applyAlignment="1">
      <alignment horizontal="center" vertical="center" wrapText="1"/>
    </xf>
    <xf numFmtId="0" fontId="57" fillId="30" borderId="118" xfId="175" applyFont="1" applyFill="1" applyBorder="1" applyAlignment="1">
      <alignment horizontal="center" vertical="center" wrapText="1"/>
    </xf>
    <xf numFmtId="0" fontId="57" fillId="30" borderId="57" xfId="175" applyFont="1" applyFill="1" applyBorder="1" applyAlignment="1">
      <alignment horizontal="center" vertical="center" wrapText="1"/>
    </xf>
    <xf numFmtId="0" fontId="57" fillId="30" borderId="46" xfId="175" applyFont="1" applyFill="1" applyBorder="1" applyAlignment="1">
      <alignment horizontal="center" vertical="center" wrapText="1"/>
    </xf>
    <xf numFmtId="0" fontId="57" fillId="30" borderId="65" xfId="175" applyFont="1" applyFill="1" applyBorder="1" applyAlignment="1">
      <alignment horizontal="center" vertical="center" wrapText="1"/>
    </xf>
    <xf numFmtId="0" fontId="57" fillId="31" borderId="12" xfId="175" applyFont="1" applyFill="1" applyBorder="1" applyAlignment="1">
      <alignment horizontal="left" vertical="center" wrapText="1"/>
    </xf>
    <xf numFmtId="0" fontId="75" fillId="30" borderId="65" xfId="149" applyFont="1" applyFill="1" applyBorder="1" applyAlignment="1">
      <alignment horizontal="center" vertical="center"/>
    </xf>
    <xf numFmtId="0" fontId="75" fillId="30" borderId="119" xfId="149" applyFont="1" applyFill="1" applyBorder="1" applyAlignment="1">
      <alignment horizontal="center" vertical="center"/>
    </xf>
    <xf numFmtId="0" fontId="56" fillId="30" borderId="51" xfId="149" applyFont="1" applyFill="1" applyBorder="1" applyAlignment="1">
      <alignment horizontal="center"/>
    </xf>
    <xf numFmtId="0" fontId="56" fillId="30" borderId="52" xfId="149" applyFont="1" applyFill="1" applyBorder="1" applyAlignment="1">
      <alignment horizontal="center"/>
    </xf>
    <xf numFmtId="0" fontId="56" fillId="30" borderId="58" xfId="149" applyFont="1" applyFill="1" applyBorder="1" applyAlignment="1">
      <alignment horizontal="center"/>
    </xf>
    <xf numFmtId="0" fontId="75" fillId="30" borderId="40" xfId="149" applyFont="1" applyFill="1" applyBorder="1" applyAlignment="1">
      <alignment horizontal="center" vertical="center"/>
    </xf>
    <xf numFmtId="0" fontId="75" fillId="30" borderId="63" xfId="149" applyFont="1" applyFill="1" applyBorder="1" applyAlignment="1">
      <alignment horizontal="center" vertical="center" wrapText="1"/>
    </xf>
    <xf numFmtId="0" fontId="75" fillId="30" borderId="13" xfId="149" applyFont="1" applyFill="1" applyBorder="1" applyAlignment="1">
      <alignment horizontal="center" vertical="center"/>
    </xf>
    <xf numFmtId="0" fontId="75" fillId="30" borderId="13" xfId="149" applyFont="1" applyFill="1" applyBorder="1" applyAlignment="1">
      <alignment horizontal="center" vertical="center" wrapText="1"/>
    </xf>
    <xf numFmtId="0" fontId="75" fillId="30" borderId="56" xfId="0" applyFont="1" applyFill="1" applyBorder="1" applyAlignment="1">
      <alignment horizontal="center" vertical="center"/>
    </xf>
    <xf numFmtId="0" fontId="135" fillId="30" borderId="46" xfId="0" applyFont="1" applyFill="1" applyBorder="1" applyAlignment="1">
      <alignment horizontal="center" vertical="center"/>
    </xf>
    <xf numFmtId="0" fontId="75" fillId="30" borderId="65" xfId="149" applyFont="1" applyFill="1" applyBorder="1" applyAlignment="1">
      <alignment horizontal="left" vertical="center" wrapText="1" indent="3"/>
    </xf>
    <xf numFmtId="0" fontId="75" fillId="30" borderId="43" xfId="149" applyFont="1" applyFill="1" applyBorder="1" applyAlignment="1">
      <alignment horizontal="left" vertical="center" wrapText="1" indent="3"/>
    </xf>
    <xf numFmtId="0" fontId="75" fillId="30" borderId="44" xfId="149" applyFont="1" applyFill="1" applyBorder="1" applyAlignment="1">
      <alignment horizontal="left" vertical="center" wrapText="1" indent="3"/>
    </xf>
    <xf numFmtId="0" fontId="57" fillId="30" borderId="8" xfId="0" applyFont="1" applyFill="1" applyBorder="1" applyAlignment="1">
      <alignment horizontal="left" vertical="center"/>
    </xf>
    <xf numFmtId="0" fontId="57" fillId="30" borderId="23" xfId="0" applyFont="1" applyFill="1" applyBorder="1" applyAlignment="1">
      <alignment horizontal="left" vertical="center"/>
    </xf>
    <xf numFmtId="0" fontId="57" fillId="30" borderId="36" xfId="0" applyFont="1" applyFill="1" applyBorder="1" applyAlignment="1">
      <alignment horizontal="left" vertical="center"/>
    </xf>
    <xf numFmtId="0" fontId="113" fillId="30" borderId="23" xfId="0" applyFont="1" applyFill="1" applyBorder="1" applyAlignment="1">
      <alignment horizontal="center" vertical="center" wrapText="1"/>
    </xf>
    <xf numFmtId="0" fontId="146" fillId="30" borderId="23" xfId="0" applyFont="1" applyFill="1" applyBorder="1" applyAlignment="1">
      <alignment horizontal="center" vertical="center" wrapText="1"/>
    </xf>
    <xf numFmtId="0" fontId="113" fillId="30" borderId="53" xfId="0" applyFont="1" applyFill="1" applyBorder="1" applyAlignment="1">
      <alignment horizontal="center" vertical="center" wrapText="1"/>
    </xf>
    <xf numFmtId="0" fontId="113" fillId="30" borderId="14" xfId="0" applyFont="1" applyFill="1" applyBorder="1" applyAlignment="1">
      <alignment horizontal="center" vertical="center" wrapText="1"/>
    </xf>
    <xf numFmtId="0" fontId="113" fillId="30" borderId="55" xfId="0" applyFont="1" applyFill="1" applyBorder="1" applyAlignment="1">
      <alignment horizontal="center" vertical="center" wrapText="1"/>
    </xf>
    <xf numFmtId="0" fontId="113" fillId="30" borderId="16" xfId="0" applyFont="1" applyFill="1" applyBorder="1" applyAlignment="1">
      <alignment horizontal="center" vertical="center" wrapText="1"/>
    </xf>
    <xf numFmtId="0" fontId="113" fillId="30" borderId="27" xfId="0" applyFont="1" applyFill="1" applyBorder="1" applyAlignment="1">
      <alignment horizontal="center" vertical="center" wrapText="1"/>
    </xf>
    <xf numFmtId="0" fontId="113" fillId="30" borderId="28" xfId="0" applyFont="1" applyFill="1" applyBorder="1" applyAlignment="1">
      <alignment horizontal="center" vertical="center" wrapText="1"/>
    </xf>
    <xf numFmtId="0" fontId="146" fillId="30" borderId="23" xfId="0" applyFont="1" applyFill="1" applyBorder="1" applyAlignment="1"/>
    <xf numFmtId="0" fontId="113" fillId="30" borderId="50" xfId="0" applyFont="1" applyFill="1" applyBorder="1" applyAlignment="1">
      <alignment horizontal="center" vertical="center" wrapText="1"/>
    </xf>
    <xf numFmtId="0" fontId="113" fillId="30" borderId="8" xfId="0" applyFont="1" applyFill="1" applyBorder="1" applyAlignment="1">
      <alignment horizontal="center" vertical="center" wrapText="1"/>
    </xf>
    <xf numFmtId="0" fontId="146" fillId="30" borderId="33" xfId="0" applyFont="1" applyFill="1" applyBorder="1" applyAlignment="1">
      <alignment horizontal="center" vertical="center" wrapText="1"/>
    </xf>
    <xf numFmtId="0" fontId="113" fillId="30" borderId="7" xfId="0" applyFont="1" applyFill="1" applyBorder="1" applyAlignment="1">
      <alignment horizontal="center" vertical="center" wrapText="1"/>
    </xf>
    <xf numFmtId="0" fontId="113" fillId="30" borderId="15" xfId="0" applyFont="1" applyFill="1" applyBorder="1" applyAlignment="1">
      <alignment horizontal="center" vertical="center" wrapText="1"/>
    </xf>
    <xf numFmtId="0" fontId="113" fillId="30" borderId="36" xfId="0" applyFont="1" applyFill="1" applyBorder="1" applyAlignment="1">
      <alignment horizontal="center" vertical="center" wrapText="1"/>
    </xf>
    <xf numFmtId="0" fontId="113" fillId="30" borderId="13" xfId="0" applyFont="1" applyFill="1" applyBorder="1" applyAlignment="1">
      <alignment horizontal="center" vertical="center" wrapText="1"/>
    </xf>
    <xf numFmtId="0" fontId="113" fillId="30" borderId="8" xfId="151" applyFont="1" applyFill="1" applyBorder="1" applyAlignment="1">
      <alignment horizontal="left" vertical="center" wrapText="1"/>
    </xf>
    <xf numFmtId="0" fontId="113" fillId="30" borderId="23" xfId="151" applyFont="1" applyFill="1" applyBorder="1" applyAlignment="1">
      <alignment horizontal="left" vertical="center" wrapText="1"/>
    </xf>
    <xf numFmtId="0" fontId="113" fillId="30" borderId="36" xfId="151" applyFont="1" applyFill="1" applyBorder="1" applyAlignment="1">
      <alignment horizontal="left" vertical="center" wrapText="1"/>
    </xf>
    <xf numFmtId="0" fontId="146" fillId="30" borderId="28" xfId="0" applyFont="1" applyFill="1" applyBorder="1" applyAlignment="1">
      <alignment horizontal="center" vertical="center" wrapText="1"/>
    </xf>
  </cellXfs>
  <cellStyles count="243">
    <cellStyle name="20% - 1. jelölőszín" xfId="1"/>
    <cellStyle name="20% - 1. jelölőszín 2" xfId="2"/>
    <cellStyle name="20% - 1. jelölőszín_20130128_ITS on reporting_Annex I_CA" xfId="3"/>
    <cellStyle name="20% - 2. jelölőszín" xfId="4"/>
    <cellStyle name="20% - 2. jelölőszín 2" xfId="5"/>
    <cellStyle name="20% - 2. jelölőszín_20130128_ITS on reporting_Annex I_CA" xfId="6"/>
    <cellStyle name="20% - 3. jelölőszín" xfId="7"/>
    <cellStyle name="20% - 3. jelölőszín 2" xfId="8"/>
    <cellStyle name="20% - 3. jelölőszín_20130128_ITS on reporting_Annex I_CA" xfId="9"/>
    <cellStyle name="20% - 4. jelölőszín" xfId="10"/>
    <cellStyle name="20% - 4. jelölőszín 2" xfId="11"/>
    <cellStyle name="20% - 4. jelölőszín_20130128_ITS on reporting_Annex I_CA" xfId="12"/>
    <cellStyle name="20% - 5. jelölőszín" xfId="13"/>
    <cellStyle name="20% - 5. jelölőszín 2" xfId="14"/>
    <cellStyle name="20% - 5. jelölőszín_20130128_ITS on reporting_Annex I_CA" xfId="15"/>
    <cellStyle name="20% - 6. jelölőszín" xfId="16"/>
    <cellStyle name="20% - 6. jelölőszín 2" xfId="17"/>
    <cellStyle name="20% - 6. jelölőszín_20130128_ITS on reporting_Annex I_CA" xfId="18"/>
    <cellStyle name="20% - Accent1" xfId="225" builtinId="30" hidden="1"/>
    <cellStyle name="20% - Accent1 2" xfId="19"/>
    <cellStyle name="20% - Accent2" xfId="228" builtinId="34" hidden="1"/>
    <cellStyle name="20% - Accent2 2" xfId="20"/>
    <cellStyle name="20% - Accent3" xfId="231" builtinId="38" hidden="1"/>
    <cellStyle name="20% - Accent3 2" xfId="21"/>
    <cellStyle name="20% - Accent4" xfId="234" builtinId="42" hidden="1"/>
    <cellStyle name="20% - Accent4 2" xfId="22"/>
    <cellStyle name="20% - Accent5" xfId="237" builtinId="46" hidden="1"/>
    <cellStyle name="20% - Accent5 2" xfId="23"/>
    <cellStyle name="20% - Accent6" xfId="240" builtinId="50" hidden="1"/>
    <cellStyle name="20% - Accent6 2" xfId="24"/>
    <cellStyle name="20% - Énfasis1" xfId="25"/>
    <cellStyle name="20% - Énfasis2" xfId="26"/>
    <cellStyle name="20% - Énfasis3" xfId="27"/>
    <cellStyle name="20% - Énfasis4" xfId="28"/>
    <cellStyle name="20% - Énfasis5" xfId="29"/>
    <cellStyle name="20% - Énfasis6" xfId="30"/>
    <cellStyle name="40% - 1. jelölőszín" xfId="31"/>
    <cellStyle name="40% - 1. jelölőszín 2" xfId="32"/>
    <cellStyle name="40% - 1. jelölőszín_20130128_ITS on reporting_Annex I_CA" xfId="33"/>
    <cellStyle name="40% - 2. jelölőszín" xfId="34"/>
    <cellStyle name="40% - 2. jelölőszín 2" xfId="35"/>
    <cellStyle name="40% - 2. jelölőszín_20130128_ITS on reporting_Annex I_CA" xfId="36"/>
    <cellStyle name="40% - 3. jelölőszín" xfId="37"/>
    <cellStyle name="40% - 3. jelölőszín 2" xfId="38"/>
    <cellStyle name="40% - 3. jelölőszín_20130128_ITS on reporting_Annex I_CA" xfId="39"/>
    <cellStyle name="40% - 4. jelölőszín" xfId="40"/>
    <cellStyle name="40% - 4. jelölőszín 2" xfId="41"/>
    <cellStyle name="40% - 4. jelölőszín_20130128_ITS on reporting_Annex I_CA" xfId="42"/>
    <cellStyle name="40% - 5. jelölőszín" xfId="43"/>
    <cellStyle name="40% - 5. jelölőszín 2" xfId="44"/>
    <cellStyle name="40% - 5. jelölőszín_20130128_ITS on reporting_Annex I_CA" xfId="45"/>
    <cellStyle name="40% - 6. jelölőszín" xfId="46"/>
    <cellStyle name="40% - 6. jelölőszín 2" xfId="47"/>
    <cellStyle name="40% - 6. jelölőszín_20130128_ITS on reporting_Annex I_CA" xfId="48"/>
    <cellStyle name="40% - Accent1" xfId="226" builtinId="31" hidden="1"/>
    <cellStyle name="40% - Accent1 2" xfId="49"/>
    <cellStyle name="40% - Accent2" xfId="229" builtinId="35" hidden="1"/>
    <cellStyle name="40% - Accent2 2" xfId="50"/>
    <cellStyle name="40% - Accent3" xfId="232" builtinId="39" hidden="1"/>
    <cellStyle name="40% - Accent3 2" xfId="51"/>
    <cellStyle name="40% - Accent4" xfId="235" builtinId="43" hidden="1"/>
    <cellStyle name="40% - Accent4 2" xfId="52"/>
    <cellStyle name="40% - Accent5" xfId="238" builtinId="47" hidden="1"/>
    <cellStyle name="40% - Accent5 2" xfId="53"/>
    <cellStyle name="40% - Accent6" xfId="241" builtinId="51" hidden="1"/>
    <cellStyle name="40% - Accent6 2" xfId="54"/>
    <cellStyle name="40% - Énfasis1" xfId="55"/>
    <cellStyle name="40% - Énfasis2" xfId="56"/>
    <cellStyle name="40% - Énfasis3" xfId="57"/>
    <cellStyle name="40% - Énfasis4" xfId="58"/>
    <cellStyle name="40% - Énfasis5" xfId="59"/>
    <cellStyle name="40% - Énfasis6" xfId="60"/>
    <cellStyle name="60% - 1. jelölőszín" xfId="61"/>
    <cellStyle name="60% - 2. jelölőszín" xfId="62"/>
    <cellStyle name="60% - 3. jelölőszín" xfId="63"/>
    <cellStyle name="60% - 4. jelölőszín" xfId="64"/>
    <cellStyle name="60% - 5. jelölőszín" xfId="65"/>
    <cellStyle name="60% - 6. jelölőszín" xfId="66"/>
    <cellStyle name="60% - Accent1" xfId="227" builtinId="32" hidden="1"/>
    <cellStyle name="60% - Accent1 2" xfId="67"/>
    <cellStyle name="60% - Accent2" xfId="230" builtinId="36" hidden="1"/>
    <cellStyle name="60% - Accent2 2" xfId="68"/>
    <cellStyle name="60% - Accent3" xfId="233" builtinId="40" hidden="1"/>
    <cellStyle name="60% - Accent3 2" xfId="69"/>
    <cellStyle name="60% - Accent4" xfId="236" builtinId="44" hidden="1"/>
    <cellStyle name="60% - Accent4 2" xfId="70"/>
    <cellStyle name="60% - Accent5" xfId="239" builtinId="48" hidden="1"/>
    <cellStyle name="60% - Accent5 2" xfId="71"/>
    <cellStyle name="60% - Accent6" xfId="242" builtinId="52" hidden="1"/>
    <cellStyle name="60% - Accent6 2" xfId="72"/>
    <cellStyle name="60% - Énfasis1" xfId="73"/>
    <cellStyle name="60% - Énfasis2" xfId="74"/>
    <cellStyle name="60% - Énfasis3" xfId="75"/>
    <cellStyle name="60% - Énfasis4" xfId="76"/>
    <cellStyle name="60% - Énfasis5" xfId="77"/>
    <cellStyle name="60% - Énfasis6" xfId="78"/>
    <cellStyle name="Accent1 2" xfId="79"/>
    <cellStyle name="Accent2 2" xfId="80"/>
    <cellStyle name="Accent3 2" xfId="81"/>
    <cellStyle name="Accent4 2" xfId="82"/>
    <cellStyle name="Accent5 2" xfId="83"/>
    <cellStyle name="Accent6 2" xfId="84"/>
    <cellStyle name="Bad" xfId="221" builtinId="27" hidden="1"/>
    <cellStyle name="Bad 2" xfId="85"/>
    <cellStyle name="Bevitel" xfId="86"/>
    <cellStyle name="Buena" xfId="87"/>
    <cellStyle name="Calculation" xfId="88"/>
    <cellStyle name="Calculation 2" xfId="89"/>
    <cellStyle name="Cálculo" xfId="90"/>
    <cellStyle name="Celda de comprobación" xfId="91"/>
    <cellStyle name="Celda vinculada" xfId="92"/>
    <cellStyle name="Check Cell" xfId="223" builtinId="23" hidden="1"/>
    <cellStyle name="Check Cell 2" xfId="93"/>
    <cellStyle name="Cím" xfId="94"/>
    <cellStyle name="Címsor 1" xfId="95"/>
    <cellStyle name="Címsor 2" xfId="96"/>
    <cellStyle name="Címsor 3" xfId="97"/>
    <cellStyle name="Címsor 4" xfId="98"/>
    <cellStyle name="Ellenőrzőcella" xfId="99"/>
    <cellStyle name="Encabezado 4" xfId="100"/>
    <cellStyle name="Énfasis1" xfId="101"/>
    <cellStyle name="Énfasis2" xfId="102"/>
    <cellStyle name="Énfasis3" xfId="103"/>
    <cellStyle name="Énfasis4" xfId="104"/>
    <cellStyle name="Énfasis5" xfId="105"/>
    <cellStyle name="Énfasis6" xfId="106"/>
    <cellStyle name="Entrada" xfId="107"/>
    <cellStyle name="Explanatory Text" xfId="108"/>
    <cellStyle name="Explanatory Text 2" xfId="109"/>
    <cellStyle name="Figyelmeztetés" xfId="110"/>
    <cellStyle name="Good" xfId="220" builtinId="26" hidden="1"/>
    <cellStyle name="Good 2" xfId="111"/>
    <cellStyle name="greyed" xfId="112"/>
    <cellStyle name="Heading 1" xfId="216" builtinId="16" hidden="1"/>
    <cellStyle name="Heading 1 2" xfId="113"/>
    <cellStyle name="Heading 2" xfId="217" builtinId="17" hidden="1"/>
    <cellStyle name="Heading 2 2" xfId="114"/>
    <cellStyle name="Heading 3" xfId="218" builtinId="18" hidden="1"/>
    <cellStyle name="Heading 3 2" xfId="115"/>
    <cellStyle name="Heading 4" xfId="219" builtinId="19" hidden="1"/>
    <cellStyle name="Heading 4 2" xfId="116"/>
    <cellStyle name="highlightExposure" xfId="117"/>
    <cellStyle name="highlightText" xfId="118"/>
    <cellStyle name="Hipervínculo 2" xfId="119"/>
    <cellStyle name="Hivatkozott cella" xfId="120"/>
    <cellStyle name="Hyperlink 2" xfId="121"/>
    <cellStyle name="Hyperlink 3" xfId="122"/>
    <cellStyle name="Hyperlink 3 2" xfId="123"/>
    <cellStyle name="Hyperlink_20090914_1805 Meneau_COREP ON COREP amendments (GSD) + FR" xfId="124"/>
    <cellStyle name="Hyperlink_20110211_REP-2010-17-(GL04-rev3-CRD-3)_Subgroup on Reporting Version" xfId="125"/>
    <cellStyle name="Incorrecto" xfId="126"/>
    <cellStyle name="Input" xfId="127"/>
    <cellStyle name="Input 2" xfId="128"/>
    <cellStyle name="inputExposure" xfId="129"/>
    <cellStyle name="Jegyzet" xfId="130"/>
    <cellStyle name="Jelölőszín (1)" xfId="131"/>
    <cellStyle name="Jelölőszín (2)" xfId="132"/>
    <cellStyle name="Jelölőszín (3)" xfId="133"/>
    <cellStyle name="Jelölőszín (4)" xfId="134"/>
    <cellStyle name="Jelölőszín (5)" xfId="135"/>
    <cellStyle name="Jelölőszín (6)" xfId="136"/>
    <cellStyle name="Jó" xfId="137"/>
    <cellStyle name="Kimenet" xfId="138"/>
    <cellStyle name="Lien hypertexte 2" xfId="139"/>
    <cellStyle name="Lien hypertexte 3" xfId="140"/>
    <cellStyle name="Linked Cell" xfId="222" builtinId="24" hidden="1"/>
    <cellStyle name="Linked Cell 2" xfId="141"/>
    <cellStyle name="Magyarázó szöveg" xfId="142"/>
    <cellStyle name="Millares 2" xfId="143"/>
    <cellStyle name="Millares 2 2" xfId="144"/>
    <cellStyle name="Millares 3" xfId="145"/>
    <cellStyle name="Millares 3 2" xfId="146"/>
    <cellStyle name="Navadno_List1" xfId="147"/>
    <cellStyle name="Neutral 2" xfId="148"/>
    <cellStyle name="Normal" xfId="0" builtinId="0"/>
    <cellStyle name="Normal 2" xfId="149"/>
    <cellStyle name="Normal 2 2" xfId="150"/>
    <cellStyle name="Normal 2 2 2" xfId="151"/>
    <cellStyle name="Normal 2 2 3" xfId="152"/>
    <cellStyle name="Normal 2 2 3 2" xfId="153"/>
    <cellStyle name="Normal 2 2_COREP GL04rev3" xfId="154"/>
    <cellStyle name="Normal 2 3" xfId="155"/>
    <cellStyle name="Normal 2 5" xfId="156"/>
    <cellStyle name="Normal 2_~0149226" xfId="157"/>
    <cellStyle name="Normal 3" xfId="158"/>
    <cellStyle name="Normal 3 2" xfId="159"/>
    <cellStyle name="Normal 3 3" xfId="160"/>
    <cellStyle name="Normal 3 4" xfId="161"/>
    <cellStyle name="Normal 3_~1520012" xfId="162"/>
    <cellStyle name="Normal 4" xfId="163"/>
    <cellStyle name="Normal 5" xfId="164"/>
    <cellStyle name="Normal 5 2" xfId="165"/>
    <cellStyle name="Normal 5_20130128_ITS on reporting_Annex I_CA" xfId="166"/>
    <cellStyle name="Normal 6" xfId="167"/>
    <cellStyle name="Normal 7" xfId="168"/>
    <cellStyle name="Normal 7 2" xfId="169"/>
    <cellStyle name="Normal 8" xfId="170"/>
    <cellStyle name="Normal_03 STA 2" xfId="171"/>
    <cellStyle name="Normal_03 STA 3" xfId="172"/>
    <cellStyle name="Normal_08 IRB EQU 1" xfId="173"/>
    <cellStyle name="Normal_08 IRB EQU 1 2 2" xfId="174"/>
    <cellStyle name="Normal_17 MKR IM 2 2" xfId="175"/>
    <cellStyle name="Normal_19 OPR LOSS" xfId="176"/>
    <cellStyle name="Normal_20 OPR" xfId="177"/>
    <cellStyle name="Normal_23 OTH 3 AFF 2" xfId="178"/>
    <cellStyle name="Normal_CR EQU IRB sent to COREP ON for BTS 25 05 2011" xfId="179"/>
    <cellStyle name="Normal_MKR - Market risks 2" xfId="180"/>
    <cellStyle name="Normale_2011 04 14 Templates for stress test_bcl" xfId="181"/>
    <cellStyle name="Notas" xfId="182"/>
    <cellStyle name="Note" xfId="224" builtinId="10" hidden="1"/>
    <cellStyle name="Note 2" xfId="183"/>
    <cellStyle name="Összesen" xfId="184"/>
    <cellStyle name="Output" xfId="185"/>
    <cellStyle name="Output 2" xfId="186"/>
    <cellStyle name="Percent" xfId="187" builtinId="5"/>
    <cellStyle name="Porcentual 2" xfId="188"/>
    <cellStyle name="Porcentual 2 2" xfId="189"/>
    <cellStyle name="Prozent 2" xfId="190"/>
    <cellStyle name="Rossz" xfId="191"/>
    <cellStyle name="Salida" xfId="192"/>
    <cellStyle name="Semleges" xfId="193"/>
    <cellStyle name="showExposure" xfId="194"/>
    <cellStyle name="Standard 2" xfId="195"/>
    <cellStyle name="Standard 3" xfId="196"/>
    <cellStyle name="Standard 3 2" xfId="197"/>
    <cellStyle name="Standard 4" xfId="198"/>
    <cellStyle name="Standard_20100129_1559 Jentsch_COREP ON 20100129 COREP preliminary proposal_CR SA" xfId="199"/>
    <cellStyle name="Standard_20100129_1559 Jentsch_COREP ON 20100129 COREP preliminary proposal_CR SA 2" xfId="200"/>
    <cellStyle name="Standard_GL04_CR_December 2007" xfId="201"/>
    <cellStyle name="Standard_GL04_MKR_December 2007 2" xfId="202"/>
    <cellStyle name="Számítás" xfId="203"/>
    <cellStyle name="Texto de advertencia" xfId="204"/>
    <cellStyle name="Texto explicativo" xfId="205"/>
    <cellStyle name="Title" xfId="215" builtinId="15" hidden="1"/>
    <cellStyle name="Title 2" xfId="206"/>
    <cellStyle name="Título" xfId="207"/>
    <cellStyle name="Título 1" xfId="208"/>
    <cellStyle name="Título 2" xfId="209"/>
    <cellStyle name="Título 3" xfId="210"/>
    <cellStyle name="Título_20091015 DE_Proposed amendments to CR SEC_MKR" xfId="211"/>
    <cellStyle name="Total 2" xfId="212"/>
    <cellStyle name="Warning Text" xfId="213"/>
    <cellStyle name="Warning Text 2" xfId="214"/>
  </cellStyles>
  <dxfs count="5">
    <dxf>
      <font>
        <strike/>
        <condense val="0"/>
        <extend val="0"/>
        <color indexed="57"/>
      </font>
    </dxf>
    <dxf>
      <font>
        <strike/>
        <condense val="0"/>
        <extend val="0"/>
        <color rgb="FF339966"/>
      </font>
    </dxf>
    <dxf>
      <font>
        <strike/>
        <condense val="0"/>
        <extend val="0"/>
        <color indexed="57"/>
      </font>
    </dxf>
    <dxf>
      <fill>
        <patternFill>
          <bgColor indexed="10"/>
        </patternFill>
      </fill>
    </dxf>
    <dxf>
      <fill>
        <patternFill>
          <bgColor indexed="10"/>
        </patternFill>
      </fill>
    </dxf>
  </dxfs>
  <tableStyles count="0" defaultTableStyle="TableStyleMedium9" defaultPivotStyle="PivotStyleLight16"/>
  <colors>
    <mruColors>
      <color rgb="FF96969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K47"/>
  <sheetViews>
    <sheetView showGridLines="0" topLeftCell="A13" zoomScaleNormal="100" zoomScalePageLayoutView="80" workbookViewId="0">
      <selection activeCell="D2" sqref="D2"/>
    </sheetView>
  </sheetViews>
  <sheetFormatPr defaultColWidth="5.109375" defaultRowHeight="10.199999999999999" x14ac:dyDescent="0.3"/>
  <cols>
    <col min="1" max="1" width="5.109375" style="248"/>
    <col min="2" max="2" width="10.5546875" style="248" customWidth="1"/>
    <col min="3" max="3" width="15.88671875" style="248" customWidth="1"/>
    <col min="4" max="4" width="138.33203125" style="248" customWidth="1"/>
    <col min="5" max="5" width="13.6640625" style="248" bestFit="1" customWidth="1"/>
    <col min="6" max="16384" width="5.109375" style="248"/>
  </cols>
  <sheetData>
    <row r="1" spans="2:5" ht="32.25" customHeight="1" x14ac:dyDescent="0.25">
      <c r="D1" s="1747" t="s">
        <v>0</v>
      </c>
    </row>
    <row r="2" spans="2:5" s="1538" customFormat="1" ht="12.6" x14ac:dyDescent="0.3">
      <c r="B2" s="1539" t="s">
        <v>1</v>
      </c>
    </row>
    <row r="4" spans="2:5" ht="14.4" x14ac:dyDescent="0.3">
      <c r="B4" s="1784" t="s">
        <v>2</v>
      </c>
      <c r="C4" s="1785"/>
      <c r="D4" s="1786"/>
      <c r="E4" s="1787"/>
    </row>
    <row r="5" spans="2:5" ht="25.5" customHeight="1" x14ac:dyDescent="0.3">
      <c r="B5" s="1524" t="s">
        <v>3</v>
      </c>
      <c r="C5" s="1524" t="s">
        <v>4</v>
      </c>
      <c r="D5" s="1525" t="s">
        <v>5</v>
      </c>
      <c r="E5" s="1524" t="s">
        <v>6</v>
      </c>
    </row>
    <row r="6" spans="2:5" ht="13.5" customHeight="1" x14ac:dyDescent="0.3">
      <c r="B6" s="1550"/>
      <c r="C6" s="1550"/>
      <c r="D6" s="1551" t="s">
        <v>7</v>
      </c>
      <c r="E6" s="1526" t="s">
        <v>8</v>
      </c>
    </row>
    <row r="7" spans="2:5" ht="13.5" customHeight="1" x14ac:dyDescent="0.25">
      <c r="B7" s="249">
        <v>1</v>
      </c>
      <c r="C7" s="249" t="s">
        <v>9</v>
      </c>
      <c r="D7" s="250" t="s">
        <v>10</v>
      </c>
      <c r="E7" s="251" t="s">
        <v>11</v>
      </c>
    </row>
    <row r="8" spans="2:5" ht="13.5" customHeight="1" x14ac:dyDescent="0.25">
      <c r="B8" s="252">
        <v>2</v>
      </c>
      <c r="C8" s="252" t="s">
        <v>12</v>
      </c>
      <c r="D8" s="253" t="s">
        <v>13</v>
      </c>
      <c r="E8" s="254" t="s">
        <v>14</v>
      </c>
    </row>
    <row r="9" spans="2:5" ht="13.5" customHeight="1" x14ac:dyDescent="0.25">
      <c r="B9" s="252">
        <v>3</v>
      </c>
      <c r="C9" s="252" t="s">
        <v>15</v>
      </c>
      <c r="D9" s="253" t="s">
        <v>16</v>
      </c>
      <c r="E9" s="254" t="s">
        <v>17</v>
      </c>
    </row>
    <row r="10" spans="2:5" ht="13.5" customHeight="1" x14ac:dyDescent="0.3">
      <c r="B10" s="252">
        <v>4</v>
      </c>
      <c r="C10" s="252" t="s">
        <v>18</v>
      </c>
      <c r="D10" s="253" t="s">
        <v>19</v>
      </c>
      <c r="E10" s="254" t="s">
        <v>20</v>
      </c>
    </row>
    <row r="11" spans="2:5" ht="13.5" customHeight="1" x14ac:dyDescent="0.25">
      <c r="B11" s="1550"/>
      <c r="C11" s="1550"/>
      <c r="D11" s="1551" t="s">
        <v>21</v>
      </c>
      <c r="E11" s="1526" t="s">
        <v>22</v>
      </c>
    </row>
    <row r="12" spans="2:5" ht="13.5" customHeight="1" x14ac:dyDescent="0.25">
      <c r="B12" s="252">
        <v>5.0999999999999996</v>
      </c>
      <c r="C12" s="252" t="s">
        <v>23</v>
      </c>
      <c r="D12" s="255" t="s">
        <v>24</v>
      </c>
      <c r="E12" s="254" t="s">
        <v>25</v>
      </c>
    </row>
    <row r="13" spans="2:5" ht="13.5" customHeight="1" x14ac:dyDescent="0.3">
      <c r="B13" s="252">
        <v>5.2</v>
      </c>
      <c r="C13" s="252" t="s">
        <v>26</v>
      </c>
      <c r="D13" s="255" t="s">
        <v>27</v>
      </c>
      <c r="E13" s="254" t="s">
        <v>28</v>
      </c>
    </row>
    <row r="14" spans="2:5" ht="13.5" customHeight="1" x14ac:dyDescent="0.3">
      <c r="B14" s="1550"/>
      <c r="C14" s="1550"/>
      <c r="D14" s="1551" t="s">
        <v>29</v>
      </c>
      <c r="E14" s="1526" t="s">
        <v>30</v>
      </c>
    </row>
    <row r="15" spans="2:5" ht="13.5" customHeight="1" x14ac:dyDescent="0.3">
      <c r="B15" s="1629">
        <v>6.1</v>
      </c>
      <c r="C15" s="1629" t="s">
        <v>31</v>
      </c>
      <c r="D15" s="1630" t="s">
        <v>32</v>
      </c>
      <c r="E15" s="1630" t="s">
        <v>33</v>
      </c>
    </row>
    <row r="16" spans="2:5" ht="13.5" customHeight="1" x14ac:dyDescent="0.3">
      <c r="B16" s="1629">
        <v>6.2</v>
      </c>
      <c r="C16" s="1629" t="s">
        <v>34</v>
      </c>
      <c r="D16" s="1630" t="s">
        <v>35</v>
      </c>
      <c r="E16" s="1630" t="s">
        <v>36</v>
      </c>
    </row>
    <row r="17" spans="2:11" ht="13.5" customHeight="1" x14ac:dyDescent="0.3">
      <c r="B17" s="1550"/>
      <c r="C17" s="1550"/>
      <c r="D17" s="1551" t="s">
        <v>37</v>
      </c>
      <c r="E17" s="1526" t="s">
        <v>38</v>
      </c>
    </row>
    <row r="18" spans="2:11" ht="13.5" customHeight="1" x14ac:dyDescent="0.3">
      <c r="B18" s="256">
        <v>7</v>
      </c>
      <c r="C18" s="256" t="s">
        <v>39</v>
      </c>
      <c r="D18" s="254" t="s">
        <v>40</v>
      </c>
      <c r="E18" s="254" t="s">
        <v>41</v>
      </c>
      <c r="K18" s="259"/>
    </row>
    <row r="19" spans="2:11" ht="13.5" customHeight="1" x14ac:dyDescent="0.3">
      <c r="B19" s="256"/>
      <c r="C19" s="256"/>
      <c r="D19" s="254" t="s">
        <v>42</v>
      </c>
      <c r="E19" s="254" t="s">
        <v>43</v>
      </c>
    </row>
    <row r="20" spans="2:11" ht="13.5" customHeight="1" x14ac:dyDescent="0.3">
      <c r="B20" s="256">
        <v>8.1</v>
      </c>
      <c r="C20" s="256" t="s">
        <v>44</v>
      </c>
      <c r="D20" s="255" t="s">
        <v>45</v>
      </c>
      <c r="E20" s="254" t="s">
        <v>46</v>
      </c>
    </row>
    <row r="21" spans="2:11" ht="13.5" customHeight="1" x14ac:dyDescent="0.3">
      <c r="B21" s="256">
        <v>8.1999999999999993</v>
      </c>
      <c r="C21" s="256" t="s">
        <v>47</v>
      </c>
      <c r="D21" s="255" t="s">
        <v>48</v>
      </c>
      <c r="E21" s="254" t="s">
        <v>49</v>
      </c>
    </row>
    <row r="22" spans="2:11" ht="13.5" customHeight="1" x14ac:dyDescent="0.3">
      <c r="B22" s="256"/>
      <c r="C22" s="256"/>
      <c r="D22" s="254" t="s">
        <v>50</v>
      </c>
      <c r="E22" s="254" t="s">
        <v>51</v>
      </c>
    </row>
    <row r="23" spans="2:11" ht="13.5" customHeight="1" x14ac:dyDescent="0.3">
      <c r="B23" s="252">
        <v>9.1</v>
      </c>
      <c r="C23" s="252" t="s">
        <v>52</v>
      </c>
      <c r="D23" s="255" t="s">
        <v>53</v>
      </c>
      <c r="E23" s="254" t="s">
        <v>54</v>
      </c>
    </row>
    <row r="24" spans="2:11" ht="13.5" customHeight="1" x14ac:dyDescent="0.3">
      <c r="B24" s="252">
        <v>9.1999999999999993</v>
      </c>
      <c r="C24" s="252" t="s">
        <v>55</v>
      </c>
      <c r="D24" s="255" t="s">
        <v>56</v>
      </c>
      <c r="E24" s="254" t="s">
        <v>57</v>
      </c>
    </row>
    <row r="25" spans="2:11" ht="13.5" customHeight="1" x14ac:dyDescent="0.3">
      <c r="B25" s="1674">
        <v>9.4</v>
      </c>
      <c r="C25" s="1674" t="s">
        <v>58</v>
      </c>
      <c r="D25" s="1675" t="s">
        <v>59</v>
      </c>
      <c r="E25" s="1630" t="s">
        <v>60</v>
      </c>
    </row>
    <row r="26" spans="2:11" ht="13.5" customHeight="1" x14ac:dyDescent="0.3">
      <c r="B26" s="256"/>
      <c r="C26" s="256"/>
      <c r="D26" s="254" t="s">
        <v>61</v>
      </c>
      <c r="E26" s="254" t="s">
        <v>62</v>
      </c>
    </row>
    <row r="27" spans="2:11" ht="13.5" customHeight="1" x14ac:dyDescent="0.3">
      <c r="B27" s="256">
        <v>10.1</v>
      </c>
      <c r="C27" s="256" t="s">
        <v>63</v>
      </c>
      <c r="D27" s="255" t="s">
        <v>64</v>
      </c>
      <c r="E27" s="254" t="s">
        <v>65</v>
      </c>
    </row>
    <row r="28" spans="2:11" ht="13.5" customHeight="1" x14ac:dyDescent="0.3">
      <c r="B28" s="256">
        <v>10.199999999999999</v>
      </c>
      <c r="C28" s="256" t="s">
        <v>66</v>
      </c>
      <c r="D28" s="255" t="s">
        <v>67</v>
      </c>
      <c r="E28" s="254" t="s">
        <v>68</v>
      </c>
    </row>
    <row r="29" spans="2:11" ht="13.5" customHeight="1" x14ac:dyDescent="0.3">
      <c r="B29" s="256">
        <v>11</v>
      </c>
      <c r="C29" s="256" t="s">
        <v>69</v>
      </c>
      <c r="D29" s="254" t="s">
        <v>70</v>
      </c>
      <c r="E29" s="254" t="s">
        <v>71</v>
      </c>
    </row>
    <row r="30" spans="2:11" ht="13.5" customHeight="1" x14ac:dyDescent="0.3">
      <c r="B30" s="256">
        <v>12</v>
      </c>
      <c r="C30" s="256" t="s">
        <v>72</v>
      </c>
      <c r="D30" s="254" t="s">
        <v>73</v>
      </c>
      <c r="E30" s="254" t="s">
        <v>74</v>
      </c>
    </row>
    <row r="31" spans="2:11" ht="13.5" customHeight="1" x14ac:dyDescent="0.3">
      <c r="B31" s="256">
        <v>13</v>
      </c>
      <c r="C31" s="256" t="s">
        <v>75</v>
      </c>
      <c r="D31" s="254" t="s">
        <v>76</v>
      </c>
      <c r="E31" s="254" t="s">
        <v>77</v>
      </c>
    </row>
    <row r="32" spans="2:11" ht="13.5" customHeight="1" x14ac:dyDescent="0.3">
      <c r="B32" s="256">
        <v>14</v>
      </c>
      <c r="C32" s="256" t="s">
        <v>78</v>
      </c>
      <c r="D32" s="254" t="s">
        <v>79</v>
      </c>
      <c r="E32" s="254" t="s">
        <v>80</v>
      </c>
    </row>
    <row r="33" spans="2:5" ht="13.5" customHeight="1" x14ac:dyDescent="0.3">
      <c r="B33" s="1550"/>
      <c r="C33" s="1550"/>
      <c r="D33" s="1551" t="s">
        <v>81</v>
      </c>
      <c r="E33" s="1526" t="s">
        <v>82</v>
      </c>
    </row>
    <row r="34" spans="2:5" ht="13.5" customHeight="1" x14ac:dyDescent="0.3">
      <c r="B34" s="256">
        <v>16</v>
      </c>
      <c r="C34" s="256" t="s">
        <v>83</v>
      </c>
      <c r="D34" s="254" t="s">
        <v>84</v>
      </c>
      <c r="E34" s="254" t="s">
        <v>85</v>
      </c>
    </row>
    <row r="35" spans="2:5" ht="13.5" customHeight="1" x14ac:dyDescent="0.3">
      <c r="B35" s="256">
        <v>17</v>
      </c>
      <c r="C35" s="256" t="s">
        <v>86</v>
      </c>
      <c r="D35" s="254" t="s">
        <v>87</v>
      </c>
      <c r="E35" s="254" t="s">
        <v>88</v>
      </c>
    </row>
    <row r="36" spans="2:5" ht="13.5" customHeight="1" x14ac:dyDescent="0.3">
      <c r="B36" s="1550"/>
      <c r="C36" s="1550"/>
      <c r="D36" s="1551" t="s">
        <v>89</v>
      </c>
      <c r="E36" s="1526" t="s">
        <v>90</v>
      </c>
    </row>
    <row r="37" spans="2:5" ht="13.5" customHeight="1" x14ac:dyDescent="0.3">
      <c r="B37" s="256">
        <v>18</v>
      </c>
      <c r="C37" s="256" t="s">
        <v>91</v>
      </c>
      <c r="D37" s="254" t="s">
        <v>92</v>
      </c>
      <c r="E37" s="254" t="s">
        <v>93</v>
      </c>
    </row>
    <row r="38" spans="2:5" ht="13.5" customHeight="1" x14ac:dyDescent="0.3">
      <c r="B38" s="256">
        <v>19</v>
      </c>
      <c r="C38" s="256" t="s">
        <v>94</v>
      </c>
      <c r="D38" s="254" t="s">
        <v>95</v>
      </c>
      <c r="E38" s="254" t="s">
        <v>96</v>
      </c>
    </row>
    <row r="39" spans="2:5" ht="13.5" customHeight="1" x14ac:dyDescent="0.3">
      <c r="B39" s="256">
        <v>20</v>
      </c>
      <c r="C39" s="256" t="s">
        <v>97</v>
      </c>
      <c r="D39" s="254" t="s">
        <v>98</v>
      </c>
      <c r="E39" s="254" t="s">
        <v>99</v>
      </c>
    </row>
    <row r="40" spans="2:5" ht="13.5" customHeight="1" x14ac:dyDescent="0.3">
      <c r="B40" s="256">
        <v>21</v>
      </c>
      <c r="C40" s="256" t="s">
        <v>100</v>
      </c>
      <c r="D40" s="254" t="s">
        <v>101</v>
      </c>
      <c r="E40" s="254" t="s">
        <v>102</v>
      </c>
    </row>
    <row r="41" spans="2:5" ht="13.5" customHeight="1" x14ac:dyDescent="0.3">
      <c r="B41" s="256">
        <v>22</v>
      </c>
      <c r="C41" s="256" t="s">
        <v>103</v>
      </c>
      <c r="D41" s="254" t="s">
        <v>104</v>
      </c>
      <c r="E41" s="254" t="s">
        <v>105</v>
      </c>
    </row>
    <row r="42" spans="2:5" ht="13.5" customHeight="1" x14ac:dyDescent="0.3">
      <c r="B42" s="256">
        <v>23</v>
      </c>
      <c r="C42" s="256" t="s">
        <v>106</v>
      </c>
      <c r="D42" s="254" t="s">
        <v>107</v>
      </c>
      <c r="E42" s="254" t="s">
        <v>108</v>
      </c>
    </row>
    <row r="43" spans="2:5" ht="13.5" customHeight="1" x14ac:dyDescent="0.3">
      <c r="B43" s="256">
        <v>24</v>
      </c>
      <c r="C43" s="256" t="s">
        <v>109</v>
      </c>
      <c r="D43" s="254" t="s">
        <v>110</v>
      </c>
      <c r="E43" s="254" t="s">
        <v>111</v>
      </c>
    </row>
    <row r="44" spans="2:5" ht="13.5" customHeight="1" x14ac:dyDescent="0.3">
      <c r="B44" s="256">
        <v>25</v>
      </c>
      <c r="C44" s="256" t="s">
        <v>112</v>
      </c>
      <c r="D44" s="254" t="s">
        <v>113</v>
      </c>
      <c r="E44" s="254" t="s">
        <v>114</v>
      </c>
    </row>
    <row r="45" spans="2:5" ht="13.5" customHeight="1" x14ac:dyDescent="0.25">
      <c r="B45" s="257">
        <v>33</v>
      </c>
      <c r="C45" s="257" t="s">
        <v>3237</v>
      </c>
      <c r="D45" s="258" t="s">
        <v>3236</v>
      </c>
      <c r="E45" s="258" t="s">
        <v>3238</v>
      </c>
    </row>
    <row r="46" spans="2:5" ht="13.5" customHeight="1" x14ac:dyDescent="0.25"/>
    <row r="47" spans="2:5" ht="13.5" customHeight="1" x14ac:dyDescent="0.25">
      <c r="B47" s="1781"/>
      <c r="C47" s="1781"/>
      <c r="D47" s="1782"/>
      <c r="E47" s="1782"/>
    </row>
  </sheetData>
  <mergeCells count="1">
    <mergeCell ref="B4:E4"/>
  </mergeCells>
  <pageMargins left="0.70866141732283472" right="0.70866141732283472" top="0.74803149606299213" bottom="0.74803149606299213" header="0.31496062992125984" footer="0.31496062992125984"/>
  <pageSetup paperSize="9" scale="76"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B1:J104"/>
  <sheetViews>
    <sheetView showGridLines="0" zoomScale="85" zoomScaleNormal="85" zoomScaleSheetLayoutView="70" workbookViewId="0">
      <selection activeCell="D99" sqref="D99"/>
    </sheetView>
  </sheetViews>
  <sheetFormatPr defaultColWidth="11.44140625" defaultRowHeight="13.8" x14ac:dyDescent="0.3"/>
  <cols>
    <col min="1" max="1" width="1.6640625" style="23" customWidth="1"/>
    <col min="2" max="2" width="8.33203125" style="22" customWidth="1"/>
    <col min="3" max="3" width="12.109375" style="22" customWidth="1"/>
    <col min="4" max="4" width="108.6640625" style="23" bestFit="1" customWidth="1"/>
    <col min="5" max="5" width="19.5546875" style="24" customWidth="1"/>
    <col min="6" max="6" width="56.109375" style="23" customWidth="1"/>
    <col min="7" max="16384" width="11.44140625" style="23"/>
  </cols>
  <sheetData>
    <row r="1" spans="2:6" ht="5.25" customHeight="1" thickBot="1" x14ac:dyDescent="0.3"/>
    <row r="2" spans="2:6" ht="27" customHeight="1" thickBot="1" x14ac:dyDescent="0.3">
      <c r="B2" s="1788" t="s">
        <v>115</v>
      </c>
      <c r="C2" s="1789"/>
      <c r="D2" s="1789"/>
      <c r="E2" s="1790"/>
    </row>
    <row r="3" spans="2:6" s="1424" customFormat="1" ht="7.5" customHeight="1" thickBot="1" x14ac:dyDescent="0.3">
      <c r="B3" s="1425"/>
      <c r="C3" s="1425"/>
      <c r="D3" s="1425"/>
      <c r="E3" s="1425"/>
    </row>
    <row r="4" spans="2:6" s="22" customFormat="1" ht="21.75" customHeight="1" x14ac:dyDescent="0.25">
      <c r="B4" s="1426" t="s">
        <v>116</v>
      </c>
      <c r="C4" s="322" t="s">
        <v>117</v>
      </c>
      <c r="D4" s="322" t="s">
        <v>118</v>
      </c>
      <c r="E4" s="321" t="s">
        <v>119</v>
      </c>
      <c r="F4" s="297"/>
    </row>
    <row r="5" spans="2:6" s="278" customFormat="1" ht="21.9" customHeight="1" x14ac:dyDescent="0.25">
      <c r="B5" s="316" t="s">
        <v>120</v>
      </c>
      <c r="C5" s="292">
        <v>1</v>
      </c>
      <c r="D5" s="1416" t="s">
        <v>121</v>
      </c>
      <c r="E5" s="1417"/>
    </row>
    <row r="6" spans="2:6" s="278" customFormat="1" ht="21.9" customHeight="1" x14ac:dyDescent="0.3">
      <c r="B6" s="316" t="s">
        <v>122</v>
      </c>
      <c r="C6" s="291" t="s">
        <v>123</v>
      </c>
      <c r="D6" s="26" t="s">
        <v>124</v>
      </c>
      <c r="E6" s="1418"/>
    </row>
    <row r="7" spans="2:6" s="278" customFormat="1" ht="21.9" customHeight="1" x14ac:dyDescent="0.3">
      <c r="B7" s="316" t="s">
        <v>125</v>
      </c>
      <c r="C7" s="292" t="str">
        <f>C$6&amp;".1"</f>
        <v>1.1.1</v>
      </c>
      <c r="D7" s="26" t="s">
        <v>126</v>
      </c>
      <c r="E7" s="1418"/>
    </row>
    <row r="8" spans="2:6" s="278" customFormat="1" ht="21.9" customHeight="1" x14ac:dyDescent="0.3">
      <c r="B8" s="316" t="s">
        <v>127</v>
      </c>
      <c r="C8" s="292" t="str">
        <f>C$7&amp;".1"</f>
        <v>1.1.1.1</v>
      </c>
      <c r="D8" s="19" t="s">
        <v>128</v>
      </c>
      <c r="E8" s="1418"/>
    </row>
    <row r="9" spans="2:6" s="278" customFormat="1" ht="21.9" customHeight="1" x14ac:dyDescent="0.3">
      <c r="B9" s="316" t="s">
        <v>129</v>
      </c>
      <c r="C9" s="293" t="str">
        <f>C$8&amp;".1"</f>
        <v>1.1.1.1.1</v>
      </c>
      <c r="D9" s="280" t="s">
        <v>130</v>
      </c>
      <c r="E9" s="1418"/>
      <c r="F9" s="25"/>
    </row>
    <row r="10" spans="2:6" s="278" customFormat="1" ht="21.9" customHeight="1" x14ac:dyDescent="0.3">
      <c r="B10" s="316" t="s">
        <v>131</v>
      </c>
      <c r="C10" s="293" t="str">
        <f>C$9&amp;"*"</f>
        <v>1.1.1.1.1*</v>
      </c>
      <c r="D10" s="280" t="s">
        <v>132</v>
      </c>
      <c r="E10" s="1418"/>
      <c r="F10" s="25"/>
    </row>
    <row r="11" spans="2:6" s="278" customFormat="1" ht="21.9" customHeight="1" x14ac:dyDescent="0.3">
      <c r="B11" s="316" t="s">
        <v>133</v>
      </c>
      <c r="C11" s="294" t="s">
        <v>134</v>
      </c>
      <c r="D11" s="280" t="s">
        <v>135</v>
      </c>
      <c r="E11" s="1418"/>
      <c r="F11" s="25"/>
    </row>
    <row r="12" spans="2:6" s="278" customFormat="1" ht="21.9" customHeight="1" x14ac:dyDescent="0.3">
      <c r="B12" s="316" t="s">
        <v>136</v>
      </c>
      <c r="C12" s="293" t="str">
        <f>C$8&amp;".3"</f>
        <v>1.1.1.1.3</v>
      </c>
      <c r="D12" s="280" t="s">
        <v>137</v>
      </c>
      <c r="E12" s="1418"/>
    </row>
    <row r="13" spans="2:6" s="278" customFormat="1" ht="21.9" customHeight="1" x14ac:dyDescent="0.25">
      <c r="B13" s="316" t="s">
        <v>138</v>
      </c>
      <c r="C13" s="293" t="str">
        <f>C$8&amp;".4"</f>
        <v>1.1.1.1.4</v>
      </c>
      <c r="D13" s="280" t="s">
        <v>139</v>
      </c>
      <c r="E13" s="1418"/>
      <c r="F13" s="25"/>
    </row>
    <row r="14" spans="2:6" s="278" customFormat="1" ht="21.9" customHeight="1" x14ac:dyDescent="0.3">
      <c r="B14" s="316" t="s">
        <v>140</v>
      </c>
      <c r="C14" s="293" t="str">
        <f>C$13&amp;".1"</f>
        <v>1.1.1.1.4.1</v>
      </c>
      <c r="D14" s="281" t="s">
        <v>141</v>
      </c>
      <c r="E14" s="1418"/>
    </row>
    <row r="15" spans="2:6" s="278" customFormat="1" ht="21.9" customHeight="1" x14ac:dyDescent="0.3">
      <c r="B15" s="316" t="s">
        <v>142</v>
      </c>
      <c r="C15" s="293" t="str">
        <f>C$13&amp;".2"</f>
        <v>1.1.1.1.4.2</v>
      </c>
      <c r="D15" s="281" t="s">
        <v>143</v>
      </c>
      <c r="E15" s="1418"/>
    </row>
    <row r="16" spans="2:6" s="278" customFormat="1" ht="21.9" customHeight="1" x14ac:dyDescent="0.3">
      <c r="B16" s="317" t="s">
        <v>144</v>
      </c>
      <c r="C16" s="293" t="str">
        <f>C$13&amp;".3"</f>
        <v>1.1.1.1.4.3</v>
      </c>
      <c r="D16" s="281" t="s">
        <v>145</v>
      </c>
      <c r="E16" s="1418"/>
      <c r="F16" s="25"/>
    </row>
    <row r="17" spans="2:10" s="278" customFormat="1" ht="21.9" customHeight="1" x14ac:dyDescent="0.3">
      <c r="B17" s="317" t="s">
        <v>146</v>
      </c>
      <c r="C17" s="293" t="str">
        <f>C$8&amp;".5"</f>
        <v>1.1.1.1.5</v>
      </c>
      <c r="D17" s="280" t="s">
        <v>147</v>
      </c>
      <c r="E17" s="1418"/>
      <c r="J17" s="1513"/>
    </row>
    <row r="18" spans="2:10" s="278" customFormat="1" ht="21.9" customHeight="1" x14ac:dyDescent="0.3">
      <c r="B18" s="316" t="s">
        <v>148</v>
      </c>
      <c r="C18" s="292" t="str">
        <f>C$7&amp;".2"</f>
        <v>1.1.1.2</v>
      </c>
      <c r="D18" s="19" t="s">
        <v>149</v>
      </c>
      <c r="E18" s="1418"/>
    </row>
    <row r="19" spans="2:10" s="278" customFormat="1" ht="21.9" customHeight="1" x14ac:dyDescent="0.3">
      <c r="B19" s="316" t="s">
        <v>150</v>
      </c>
      <c r="C19" s="293" t="str">
        <f>C$18&amp;".1"</f>
        <v>1.1.1.2.1</v>
      </c>
      <c r="D19" s="280" t="s">
        <v>151</v>
      </c>
      <c r="E19" s="1418"/>
    </row>
    <row r="20" spans="2:10" s="278" customFormat="1" ht="21.9" customHeight="1" x14ac:dyDescent="0.3">
      <c r="B20" s="316" t="s">
        <v>152</v>
      </c>
      <c r="C20" s="293" t="str">
        <f>C$18&amp;".2"</f>
        <v>1.1.1.2.2</v>
      </c>
      <c r="D20" s="280" t="s">
        <v>153</v>
      </c>
      <c r="E20" s="1418"/>
      <c r="F20" s="25"/>
    </row>
    <row r="21" spans="2:10" s="278" customFormat="1" ht="21.9" customHeight="1" x14ac:dyDescent="0.3">
      <c r="B21" s="316" t="s">
        <v>154</v>
      </c>
      <c r="C21" s="293" t="str">
        <f>C$20&amp;".1"</f>
        <v>1.1.1.2.2.1</v>
      </c>
      <c r="D21" s="281" t="s">
        <v>155</v>
      </c>
      <c r="E21" s="1418"/>
    </row>
    <row r="22" spans="2:10" s="278" customFormat="1" ht="21.9" customHeight="1" x14ac:dyDescent="0.3">
      <c r="B22" s="316" t="s">
        <v>156</v>
      </c>
      <c r="C22" s="293" t="str">
        <f>C$20&amp;".2"</f>
        <v>1.1.1.2.2.2</v>
      </c>
      <c r="D22" s="281" t="s">
        <v>157</v>
      </c>
      <c r="E22" s="1418"/>
    </row>
    <row r="23" spans="2:10" s="278" customFormat="1" ht="21.9" customHeight="1" x14ac:dyDescent="0.3">
      <c r="B23" s="316" t="s">
        <v>158</v>
      </c>
      <c r="C23" s="292" t="str">
        <f>C$7&amp;".3"</f>
        <v>1.1.1.3</v>
      </c>
      <c r="D23" s="19" t="s">
        <v>159</v>
      </c>
      <c r="E23" s="1418"/>
    </row>
    <row r="24" spans="2:10" s="278" customFormat="1" ht="21.9" customHeight="1" x14ac:dyDescent="0.3">
      <c r="B24" s="316" t="s">
        <v>160</v>
      </c>
      <c r="C24" s="292" t="str">
        <f>C$7&amp;".4"</f>
        <v>1.1.1.4</v>
      </c>
      <c r="D24" s="19" t="s">
        <v>161</v>
      </c>
      <c r="E24" s="1418"/>
    </row>
    <row r="25" spans="2:10" s="278" customFormat="1" ht="21.9" customHeight="1" x14ac:dyDescent="0.3">
      <c r="B25" s="316" t="s">
        <v>162</v>
      </c>
      <c r="C25" s="292" t="str">
        <f>C$7&amp;".5"</f>
        <v>1.1.1.5</v>
      </c>
      <c r="D25" s="19" t="s">
        <v>163</v>
      </c>
      <c r="E25" s="1418"/>
    </row>
    <row r="26" spans="2:10" s="278" customFormat="1" ht="36" customHeight="1" x14ac:dyDescent="0.3">
      <c r="B26" s="316" t="s">
        <v>164</v>
      </c>
      <c r="C26" s="292" t="str">
        <f>C$7&amp;".6"</f>
        <v>1.1.1.6</v>
      </c>
      <c r="D26" s="1575" t="s">
        <v>3239</v>
      </c>
      <c r="E26" s="1418"/>
    </row>
    <row r="27" spans="2:10" s="278" customFormat="1" ht="21.9" customHeight="1" x14ac:dyDescent="0.3">
      <c r="B27" s="316" t="s">
        <v>165</v>
      </c>
      <c r="C27" s="292" t="str">
        <f>C$7&amp;".7"</f>
        <v>1.1.1.7</v>
      </c>
      <c r="D27" s="27" t="s">
        <v>166</v>
      </c>
      <c r="E27" s="1418"/>
    </row>
    <row r="28" spans="2:10" s="278" customFormat="1" ht="21.9" customHeight="1" x14ac:dyDescent="0.3">
      <c r="B28" s="316" t="s">
        <v>167</v>
      </c>
      <c r="C28" s="292" t="str">
        <f>C$7&amp;".8"</f>
        <v>1.1.1.8</v>
      </c>
      <c r="D28" s="27" t="s">
        <v>168</v>
      </c>
      <c r="E28" s="1418"/>
    </row>
    <row r="29" spans="2:10" s="278" customFormat="1" ht="21.9" customHeight="1" x14ac:dyDescent="0.3">
      <c r="B29" s="316" t="s">
        <v>169</v>
      </c>
      <c r="C29" s="292" t="str">
        <f>C$7&amp;".9"</f>
        <v>1.1.1.9</v>
      </c>
      <c r="D29" s="27" t="s">
        <v>170</v>
      </c>
      <c r="E29" s="1418"/>
    </row>
    <row r="30" spans="2:10" s="278" customFormat="1" ht="21.9" customHeight="1" x14ac:dyDescent="0.3">
      <c r="B30" s="316" t="s">
        <v>171</v>
      </c>
      <c r="C30" s="293" t="str">
        <f>C$29&amp;".1"</f>
        <v>1.1.1.9.1</v>
      </c>
      <c r="D30" s="280" t="s">
        <v>172</v>
      </c>
      <c r="E30" s="1418"/>
    </row>
    <row r="31" spans="2:10" s="278" customFormat="1" ht="21.9" customHeight="1" x14ac:dyDescent="0.3">
      <c r="B31" s="316" t="s">
        <v>173</v>
      </c>
      <c r="C31" s="293" t="str">
        <f>C$29&amp;".2"</f>
        <v>1.1.1.9.2</v>
      </c>
      <c r="D31" s="280" t="s">
        <v>174</v>
      </c>
      <c r="E31" s="1418"/>
    </row>
    <row r="32" spans="2:10" s="278" customFormat="1" ht="31.5" customHeight="1" x14ac:dyDescent="0.3">
      <c r="B32" s="316" t="s">
        <v>175</v>
      </c>
      <c r="C32" s="293" t="str">
        <f>C$29&amp;".3"</f>
        <v>1.1.1.9.3</v>
      </c>
      <c r="D32" s="280" t="s">
        <v>176</v>
      </c>
      <c r="E32" s="1418"/>
    </row>
    <row r="33" spans="2:6" s="278" customFormat="1" ht="34.5" customHeight="1" x14ac:dyDescent="0.3">
      <c r="B33" s="316" t="s">
        <v>177</v>
      </c>
      <c r="C33" s="293" t="str">
        <f>C$29&amp;".4"</f>
        <v>1.1.1.9.4</v>
      </c>
      <c r="D33" s="280" t="s">
        <v>178</v>
      </c>
      <c r="E33" s="1418"/>
    </row>
    <row r="34" spans="2:6" s="278" customFormat="1" ht="21.9" customHeight="1" x14ac:dyDescent="0.3">
      <c r="B34" s="316" t="s">
        <v>179</v>
      </c>
      <c r="C34" s="293" t="str">
        <f>C$29&amp;".5"</f>
        <v>1.1.1.9.5</v>
      </c>
      <c r="D34" s="280" t="s">
        <v>180</v>
      </c>
      <c r="E34" s="1418"/>
    </row>
    <row r="35" spans="2:6" s="278" customFormat="1" ht="21.9" customHeight="1" x14ac:dyDescent="0.3">
      <c r="B35" s="316" t="s">
        <v>181</v>
      </c>
      <c r="C35" s="292" t="str">
        <f>C$7&amp;".10"</f>
        <v>1.1.1.10</v>
      </c>
      <c r="D35" s="19" t="s">
        <v>182</v>
      </c>
      <c r="E35" s="1418"/>
    </row>
    <row r="36" spans="2:6" s="278" customFormat="1" ht="21.9" customHeight="1" x14ac:dyDescent="0.3">
      <c r="B36" s="316" t="s">
        <v>183</v>
      </c>
      <c r="C36" s="293" t="str">
        <f>C$35&amp;".1"</f>
        <v>1.1.1.10.1</v>
      </c>
      <c r="D36" s="1631" t="s">
        <v>184</v>
      </c>
      <c r="E36" s="1418"/>
    </row>
    <row r="37" spans="2:6" s="278" customFormat="1" ht="21.9" customHeight="1" x14ac:dyDescent="0.3">
      <c r="B37" s="316" t="s">
        <v>185</v>
      </c>
      <c r="C37" s="293" t="str">
        <f>C$35&amp;".2"</f>
        <v>1.1.1.10.2</v>
      </c>
      <c r="D37" s="1631" t="s">
        <v>186</v>
      </c>
      <c r="E37" s="1418"/>
    </row>
    <row r="38" spans="2:6" s="278" customFormat="1" ht="21.9" customHeight="1" x14ac:dyDescent="0.3">
      <c r="B38" s="316" t="s">
        <v>187</v>
      </c>
      <c r="C38" s="293" t="str">
        <f>C$35&amp;".3"</f>
        <v>1.1.1.10.3</v>
      </c>
      <c r="D38" s="1631" t="s">
        <v>188</v>
      </c>
      <c r="E38" s="1418"/>
    </row>
    <row r="39" spans="2:6" s="278" customFormat="1" ht="21.9" customHeight="1" x14ac:dyDescent="0.3">
      <c r="B39" s="316" t="s">
        <v>189</v>
      </c>
      <c r="C39" s="292" t="str">
        <f>C$7&amp;".11"</f>
        <v>1.1.1.11</v>
      </c>
      <c r="D39" s="1575" t="s">
        <v>190</v>
      </c>
      <c r="E39" s="1418"/>
    </row>
    <row r="40" spans="2:6" s="278" customFormat="1" ht="21.9" customHeight="1" x14ac:dyDescent="0.3">
      <c r="B40" s="316" t="s">
        <v>191</v>
      </c>
      <c r="C40" s="293" t="str">
        <f>C$39&amp;".1"</f>
        <v>1.1.1.11.1</v>
      </c>
      <c r="D40" s="1631" t="s">
        <v>192</v>
      </c>
      <c r="E40" s="1418"/>
    </row>
    <row r="41" spans="2:6" s="278" customFormat="1" ht="21.9" customHeight="1" x14ac:dyDescent="0.3">
      <c r="B41" s="316" t="s">
        <v>193</v>
      </c>
      <c r="C41" s="293" t="str">
        <f>C$39&amp;".2"</f>
        <v>1.1.1.11.2</v>
      </c>
      <c r="D41" s="1631" t="s">
        <v>194</v>
      </c>
      <c r="E41" s="1418"/>
    </row>
    <row r="42" spans="2:6" s="278" customFormat="1" ht="39.9" customHeight="1" x14ac:dyDescent="0.3">
      <c r="B42" s="316" t="s">
        <v>195</v>
      </c>
      <c r="C42" s="292" t="str">
        <f>C$7&amp;".12"</f>
        <v>1.1.1.12</v>
      </c>
      <c r="D42" s="1575" t="s">
        <v>196</v>
      </c>
      <c r="E42" s="1418"/>
    </row>
    <row r="43" spans="2:6" s="278" customFormat="1" ht="34.5" customHeight="1" x14ac:dyDescent="0.3">
      <c r="B43" s="316" t="s">
        <v>197</v>
      </c>
      <c r="C43" s="292" t="str">
        <f>C$7&amp;".13"</f>
        <v>1.1.1.13</v>
      </c>
      <c r="D43" s="1575" t="s">
        <v>198</v>
      </c>
      <c r="E43" s="1418"/>
      <c r="F43" s="25"/>
    </row>
    <row r="44" spans="2:6" s="278" customFormat="1" ht="21.9" customHeight="1" x14ac:dyDescent="0.3">
      <c r="B44" s="316" t="s">
        <v>199</v>
      </c>
      <c r="C44" s="292" t="str">
        <f>C$7&amp;".14"</f>
        <v>1.1.1.14</v>
      </c>
      <c r="D44" s="1575" t="s">
        <v>200</v>
      </c>
      <c r="E44" s="1418"/>
    </row>
    <row r="45" spans="2:6" s="278" customFormat="1" ht="21.9" customHeight="1" x14ac:dyDescent="0.3">
      <c r="B45" s="316" t="s">
        <v>201</v>
      </c>
      <c r="C45" s="293" t="str">
        <f>C$44&amp;".1"</f>
        <v>1.1.1.14.1</v>
      </c>
      <c r="D45" s="1631" t="s">
        <v>202</v>
      </c>
      <c r="E45" s="1418"/>
    </row>
    <row r="46" spans="2:6" s="278" customFormat="1" ht="21.9" customHeight="1" x14ac:dyDescent="0.3">
      <c r="B46" s="316" t="s">
        <v>203</v>
      </c>
      <c r="C46" s="293" t="str">
        <f>C$44&amp;".2"</f>
        <v>1.1.1.14.2</v>
      </c>
      <c r="D46" s="1631" t="s">
        <v>204</v>
      </c>
      <c r="E46" s="1418"/>
    </row>
    <row r="47" spans="2:6" s="278" customFormat="1" ht="21.9" customHeight="1" x14ac:dyDescent="0.3">
      <c r="B47" s="316" t="s">
        <v>205</v>
      </c>
      <c r="C47" s="293" t="str">
        <f>C$44&amp;".3"</f>
        <v>1.1.1.14.3</v>
      </c>
      <c r="D47" s="1631" t="s">
        <v>206</v>
      </c>
      <c r="E47" s="1418"/>
    </row>
    <row r="48" spans="2:6" s="278" customFormat="1" ht="21.9" customHeight="1" x14ac:dyDescent="0.3">
      <c r="B48" s="316" t="s">
        <v>207</v>
      </c>
      <c r="C48" s="292" t="str">
        <f>C$7&amp;".15"</f>
        <v>1.1.1.15</v>
      </c>
      <c r="D48" s="1575" t="s">
        <v>208</v>
      </c>
      <c r="E48" s="1418"/>
    </row>
    <row r="49" spans="2:6" s="279" customFormat="1" ht="21.9" customHeight="1" x14ac:dyDescent="0.3">
      <c r="B49" s="316" t="s">
        <v>209</v>
      </c>
      <c r="C49" s="292" t="str">
        <f>C$7&amp;".16"</f>
        <v>1.1.1.16</v>
      </c>
      <c r="D49" s="1575" t="s">
        <v>210</v>
      </c>
      <c r="E49" s="1418"/>
    </row>
    <row r="50" spans="2:6" s="278" customFormat="1" ht="39.9" customHeight="1" x14ac:dyDescent="0.3">
      <c r="B50" s="316" t="s">
        <v>211</v>
      </c>
      <c r="C50" s="292" t="str">
        <f>C$7&amp;".17"</f>
        <v>1.1.1.17</v>
      </c>
      <c r="D50" s="1575" t="s">
        <v>212</v>
      </c>
      <c r="E50" s="1418"/>
      <c r="F50" s="25"/>
    </row>
    <row r="51" spans="2:6" s="278" customFormat="1" ht="33.75" customHeight="1" x14ac:dyDescent="0.3">
      <c r="B51" s="316" t="s">
        <v>213</v>
      </c>
      <c r="C51" s="292" t="str">
        <f>C$7&amp;".18"</f>
        <v>1.1.1.18</v>
      </c>
      <c r="D51" s="1575" t="s">
        <v>214</v>
      </c>
      <c r="E51" s="1418"/>
    </row>
    <row r="52" spans="2:6" s="278" customFormat="1" ht="33.75" customHeight="1" x14ac:dyDescent="0.3">
      <c r="B52" s="316" t="s">
        <v>215</v>
      </c>
      <c r="C52" s="292" t="str">
        <f>C$7&amp;".19"</f>
        <v>1.1.1.19</v>
      </c>
      <c r="D52" s="1575" t="s">
        <v>216</v>
      </c>
      <c r="E52" s="1418"/>
      <c r="F52" s="25"/>
    </row>
    <row r="53" spans="2:6" s="278" customFormat="1" ht="39.9" customHeight="1" x14ac:dyDescent="0.3">
      <c r="B53" s="317" t="s">
        <v>217</v>
      </c>
      <c r="C53" s="292" t="str">
        <f>C$7&amp;".20"</f>
        <v>1.1.1.20</v>
      </c>
      <c r="D53" s="1575" t="s">
        <v>218</v>
      </c>
      <c r="E53" s="1418"/>
      <c r="F53" s="25"/>
    </row>
    <row r="54" spans="2:6" s="278" customFormat="1" ht="39.9" customHeight="1" x14ac:dyDescent="0.3">
      <c r="B54" s="317" t="s">
        <v>219</v>
      </c>
      <c r="C54" s="292" t="str">
        <f>C$7&amp;".21"</f>
        <v>1.1.1.21</v>
      </c>
      <c r="D54" s="1575" t="s">
        <v>220</v>
      </c>
      <c r="E54" s="1418"/>
    </row>
    <row r="55" spans="2:6" s="278" customFormat="1" ht="39.9" customHeight="1" x14ac:dyDescent="0.3">
      <c r="B55" s="316" t="s">
        <v>221</v>
      </c>
      <c r="C55" s="292" t="str">
        <f>C$7&amp;".22"</f>
        <v>1.1.1.22</v>
      </c>
      <c r="D55" s="1575" t="s">
        <v>222</v>
      </c>
      <c r="E55" s="1418"/>
    </row>
    <row r="56" spans="2:6" s="278" customFormat="1" ht="39.9" customHeight="1" x14ac:dyDescent="0.3">
      <c r="B56" s="316" t="s">
        <v>223</v>
      </c>
      <c r="C56" s="292" t="str">
        <f>C$7&amp;".23"</f>
        <v>1.1.1.23</v>
      </c>
      <c r="D56" s="1575" t="s">
        <v>224</v>
      </c>
      <c r="E56" s="1418"/>
    </row>
    <row r="57" spans="2:6" s="278" customFormat="1" ht="39.9" customHeight="1" x14ac:dyDescent="0.3">
      <c r="B57" s="316" t="s">
        <v>225</v>
      </c>
      <c r="C57" s="292" t="str">
        <f>C$7&amp;".24"</f>
        <v>1.1.1.24</v>
      </c>
      <c r="D57" s="1575" t="s">
        <v>226</v>
      </c>
      <c r="E57" s="1418"/>
    </row>
    <row r="58" spans="2:6" s="278" customFormat="1" ht="21.9" customHeight="1" x14ac:dyDescent="0.3">
      <c r="B58" s="316" t="s">
        <v>227</v>
      </c>
      <c r="C58" s="292" t="str">
        <f>C$7&amp;".25"</f>
        <v>1.1.1.25</v>
      </c>
      <c r="D58" s="1632" t="s">
        <v>228</v>
      </c>
      <c r="E58" s="1418"/>
    </row>
    <row r="59" spans="2:6" s="278" customFormat="1" ht="21.9" customHeight="1" x14ac:dyDescent="0.3">
      <c r="B59" s="316" t="s">
        <v>229</v>
      </c>
      <c r="C59" s="292" t="str">
        <f>C$7&amp;".26"</f>
        <v>1.1.1.26</v>
      </c>
      <c r="D59" s="1632" t="s">
        <v>230</v>
      </c>
      <c r="E59" s="1418"/>
    </row>
    <row r="60" spans="2:6" s="278" customFormat="1" ht="21.9" customHeight="1" x14ac:dyDescent="0.3">
      <c r="B60" s="316" t="s">
        <v>231</v>
      </c>
      <c r="C60" s="292" t="str">
        <f>C$7&amp;".27"</f>
        <v>1.1.1.27</v>
      </c>
      <c r="D60" s="1632" t="s">
        <v>232</v>
      </c>
      <c r="E60" s="1418"/>
    </row>
    <row r="61" spans="2:6" s="278" customFormat="1" ht="21.9" customHeight="1" x14ac:dyDescent="0.3">
      <c r="B61" s="316" t="s">
        <v>233</v>
      </c>
      <c r="C61" s="292" t="str">
        <f>C$7&amp;".28"</f>
        <v>1.1.1.28</v>
      </c>
      <c r="D61" s="1632" t="s">
        <v>234</v>
      </c>
      <c r="E61" s="1418"/>
    </row>
    <row r="62" spans="2:6" s="278" customFormat="1" ht="21.9" customHeight="1" x14ac:dyDescent="0.3">
      <c r="B62" s="316" t="s">
        <v>235</v>
      </c>
      <c r="C62" s="292" t="str">
        <f>C$6&amp;".2"</f>
        <v>1.1.2</v>
      </c>
      <c r="D62" s="1633" t="s">
        <v>236</v>
      </c>
      <c r="E62" s="1418"/>
    </row>
    <row r="63" spans="2:6" s="278" customFormat="1" ht="21.9" customHeight="1" x14ac:dyDescent="0.3">
      <c r="B63" s="316" t="s">
        <v>237</v>
      </c>
      <c r="C63" s="292" t="str">
        <f>C$62&amp;".1"</f>
        <v>1.1.2.1</v>
      </c>
      <c r="D63" s="1575" t="s">
        <v>238</v>
      </c>
      <c r="E63" s="1418"/>
    </row>
    <row r="64" spans="2:6" s="278" customFormat="1" ht="21.9" customHeight="1" x14ac:dyDescent="0.3">
      <c r="B64" s="316" t="s">
        <v>239</v>
      </c>
      <c r="C64" s="293" t="str">
        <f>C$63&amp;".1"</f>
        <v>1.1.2.1.1</v>
      </c>
      <c r="D64" s="1631" t="s">
        <v>240</v>
      </c>
      <c r="E64" s="1418"/>
    </row>
    <row r="65" spans="2:6" s="278" customFormat="1" ht="21.9" customHeight="1" x14ac:dyDescent="0.3">
      <c r="B65" s="316" t="s">
        <v>241</v>
      </c>
      <c r="C65" s="294" t="s">
        <v>242</v>
      </c>
      <c r="D65" s="1631" t="s">
        <v>243</v>
      </c>
      <c r="E65" s="1418"/>
    </row>
    <row r="66" spans="2:6" s="278" customFormat="1" ht="21.9" customHeight="1" x14ac:dyDescent="0.3">
      <c r="B66" s="316" t="s">
        <v>244</v>
      </c>
      <c r="C66" s="293" t="str">
        <f>C$63&amp;".3"</f>
        <v>1.1.2.1.3</v>
      </c>
      <c r="D66" s="1631" t="s">
        <v>245</v>
      </c>
      <c r="E66" s="1418"/>
    </row>
    <row r="67" spans="2:6" s="278" customFormat="1" ht="21.9" customHeight="1" x14ac:dyDescent="0.3">
      <c r="B67" s="316" t="s">
        <v>246</v>
      </c>
      <c r="C67" s="293" t="str">
        <f>C$63&amp;".4"</f>
        <v>1.1.2.1.4</v>
      </c>
      <c r="D67" s="1631" t="s">
        <v>247</v>
      </c>
      <c r="E67" s="1418"/>
    </row>
    <row r="68" spans="2:6" s="278" customFormat="1" ht="21.9" customHeight="1" x14ac:dyDescent="0.3">
      <c r="B68" s="316" t="s">
        <v>248</v>
      </c>
      <c r="C68" s="293" t="str">
        <f>C$67&amp;".1"</f>
        <v>1.1.2.1.4.1</v>
      </c>
      <c r="D68" s="1634" t="s">
        <v>249</v>
      </c>
      <c r="E68" s="1418"/>
    </row>
    <row r="69" spans="2:6" s="278" customFormat="1" ht="21.9" customHeight="1" x14ac:dyDescent="0.3">
      <c r="B69" s="316" t="s">
        <v>250</v>
      </c>
      <c r="C69" s="293" t="str">
        <f>C$67&amp;".2"</f>
        <v>1.1.2.1.4.2</v>
      </c>
      <c r="D69" s="1634" t="s">
        <v>251</v>
      </c>
      <c r="E69" s="1418"/>
    </row>
    <row r="70" spans="2:6" s="278" customFormat="1" ht="21.9" customHeight="1" x14ac:dyDescent="0.3">
      <c r="B70" s="317" t="s">
        <v>252</v>
      </c>
      <c r="C70" s="293" t="str">
        <f>C$67&amp;".3"</f>
        <v>1.1.2.1.4.3</v>
      </c>
      <c r="D70" s="1634" t="s">
        <v>253</v>
      </c>
      <c r="E70" s="1418"/>
      <c r="F70" s="25"/>
    </row>
    <row r="71" spans="2:6" s="278" customFormat="1" ht="21.9" customHeight="1" x14ac:dyDescent="0.3">
      <c r="B71" s="317" t="s">
        <v>254</v>
      </c>
      <c r="C71" s="293" t="str">
        <f>C$63&amp;".5"</f>
        <v>1.1.2.1.5</v>
      </c>
      <c r="D71" s="1631" t="s">
        <v>255</v>
      </c>
      <c r="E71" s="1418"/>
    </row>
    <row r="72" spans="2:6" s="278" customFormat="1" ht="36" customHeight="1" x14ac:dyDescent="0.3">
      <c r="B72" s="316" t="s">
        <v>256</v>
      </c>
      <c r="C72" s="292" t="str">
        <f>C$62&amp;".2"</f>
        <v>1.1.2.2</v>
      </c>
      <c r="D72" s="19" t="s">
        <v>257</v>
      </c>
      <c r="E72" s="1418"/>
    </row>
    <row r="73" spans="2:6" s="278" customFormat="1" ht="21.9" customHeight="1" x14ac:dyDescent="0.3">
      <c r="B73" s="316" t="s">
        <v>258</v>
      </c>
      <c r="C73" s="292" t="str">
        <f>C$62&amp;".3"</f>
        <v>1.1.2.3</v>
      </c>
      <c r="D73" s="1575" t="s">
        <v>259</v>
      </c>
      <c r="E73" s="1419"/>
    </row>
    <row r="74" spans="2:6" s="278" customFormat="1" ht="39.9" customHeight="1" x14ac:dyDescent="0.3">
      <c r="B74" s="316" t="s">
        <v>260</v>
      </c>
      <c r="C74" s="292" t="str">
        <f>C$62&amp;".4"</f>
        <v>1.1.2.4</v>
      </c>
      <c r="D74" s="1635" t="s">
        <v>261</v>
      </c>
      <c r="E74" s="1420"/>
    </row>
    <row r="75" spans="2:6" s="278" customFormat="1" ht="21.9" customHeight="1" x14ac:dyDescent="0.3">
      <c r="B75" s="316" t="s">
        <v>262</v>
      </c>
      <c r="C75" s="292" t="str">
        <f>C$62&amp;".5"</f>
        <v>1.1.2.5</v>
      </c>
      <c r="D75" s="1575" t="s">
        <v>263</v>
      </c>
      <c r="E75" s="1421"/>
    </row>
    <row r="76" spans="2:6" s="278" customFormat="1" ht="39.9" customHeight="1" x14ac:dyDescent="0.3">
      <c r="B76" s="316" t="s">
        <v>264</v>
      </c>
      <c r="C76" s="292" t="str">
        <f>C$62&amp;".6"</f>
        <v>1.1.2.6</v>
      </c>
      <c r="D76" s="1575" t="s">
        <v>265</v>
      </c>
      <c r="E76" s="1421"/>
    </row>
    <row r="77" spans="2:6" s="278" customFormat="1" ht="39.9" customHeight="1" x14ac:dyDescent="0.3">
      <c r="B77" s="316" t="s">
        <v>266</v>
      </c>
      <c r="C77" s="292" t="str">
        <f>C$62&amp;".7"</f>
        <v>1.1.2.7</v>
      </c>
      <c r="D77" s="1575" t="s">
        <v>267</v>
      </c>
      <c r="E77" s="1418"/>
    </row>
    <row r="78" spans="2:6" s="278" customFormat="1" ht="21.9" customHeight="1" x14ac:dyDescent="0.3">
      <c r="B78" s="316" t="s">
        <v>268</v>
      </c>
      <c r="C78" s="292" t="str">
        <f>C$62&amp;".8"</f>
        <v>1.1.2.8</v>
      </c>
      <c r="D78" s="1575" t="s">
        <v>269</v>
      </c>
      <c r="E78" s="1422"/>
    </row>
    <row r="79" spans="2:6" s="278" customFormat="1" ht="21.9" customHeight="1" x14ac:dyDescent="0.3">
      <c r="B79" s="316" t="s">
        <v>270</v>
      </c>
      <c r="C79" s="292" t="str">
        <f>C$62&amp;".9"</f>
        <v>1.1.2.9</v>
      </c>
      <c r="D79" s="1632" t="s">
        <v>271</v>
      </c>
      <c r="E79" s="1418"/>
    </row>
    <row r="80" spans="2:6" s="278" customFormat="1" ht="21.9" customHeight="1" x14ac:dyDescent="0.3">
      <c r="B80" s="316" t="s">
        <v>272</v>
      </c>
      <c r="C80" s="292" t="str">
        <f>C$62&amp;".10"</f>
        <v>1.1.2.10</v>
      </c>
      <c r="D80" s="1575" t="s">
        <v>273</v>
      </c>
      <c r="E80" s="1418"/>
    </row>
    <row r="81" spans="2:6" s="278" customFormat="1" ht="21.9" customHeight="1" x14ac:dyDescent="0.3">
      <c r="B81" s="316" t="s">
        <v>274</v>
      </c>
      <c r="C81" s="292" t="str">
        <f>C$62&amp;".11"</f>
        <v>1.1.2.11</v>
      </c>
      <c r="D81" s="1632" t="s">
        <v>275</v>
      </c>
      <c r="E81" s="1418"/>
    </row>
    <row r="82" spans="2:6" s="278" customFormat="1" ht="21.9" customHeight="1" x14ac:dyDescent="0.3">
      <c r="B82" s="316" t="s">
        <v>276</v>
      </c>
      <c r="C82" s="292" t="str">
        <f>C$62&amp;".12"</f>
        <v>1.1.2.12</v>
      </c>
      <c r="D82" s="1632" t="s">
        <v>277</v>
      </c>
      <c r="E82" s="1418"/>
    </row>
    <row r="83" spans="2:6" s="278" customFormat="1" ht="21.9" customHeight="1" x14ac:dyDescent="0.3">
      <c r="B83" s="316" t="s">
        <v>278</v>
      </c>
      <c r="C83" s="292" t="str">
        <f>C$5&amp;".2"</f>
        <v>1.2</v>
      </c>
      <c r="D83" s="1633" t="s">
        <v>279</v>
      </c>
      <c r="E83" s="1418"/>
    </row>
    <row r="84" spans="2:6" s="278" customFormat="1" ht="21.9" customHeight="1" x14ac:dyDescent="0.3">
      <c r="B84" s="316" t="s">
        <v>280</v>
      </c>
      <c r="C84" s="1636" t="str">
        <f>C$83&amp;".1"</f>
        <v>1.2.1</v>
      </c>
      <c r="D84" s="1575" t="s">
        <v>281</v>
      </c>
      <c r="E84" s="1418"/>
    </row>
    <row r="85" spans="2:6" s="278" customFormat="1" ht="21.9" customHeight="1" x14ac:dyDescent="0.3">
      <c r="B85" s="316" t="s">
        <v>282</v>
      </c>
      <c r="C85" s="1637" t="str">
        <f>C84&amp;".1"</f>
        <v>1.2.1.1</v>
      </c>
      <c r="D85" s="1631" t="s">
        <v>283</v>
      </c>
      <c r="E85" s="1418"/>
    </row>
    <row r="86" spans="2:6" s="278" customFormat="1" ht="21.9" customHeight="1" x14ac:dyDescent="0.3">
      <c r="B86" s="316" t="s">
        <v>284</v>
      </c>
      <c r="C86" s="1637" t="s">
        <v>285</v>
      </c>
      <c r="D86" s="1631" t="s">
        <v>286</v>
      </c>
      <c r="E86" s="1418"/>
    </row>
    <row r="87" spans="2:6" s="278" customFormat="1" ht="21.9" customHeight="1" x14ac:dyDescent="0.3">
      <c r="B87" s="316" t="s">
        <v>287</v>
      </c>
      <c r="C87" s="1637" t="str">
        <f>C$84&amp;".3"</f>
        <v>1.2.1.3</v>
      </c>
      <c r="D87" s="1631" t="s">
        <v>288</v>
      </c>
      <c r="E87" s="1418"/>
    </row>
    <row r="88" spans="2:6" s="278" customFormat="1" ht="21.9" customHeight="1" x14ac:dyDescent="0.3">
      <c r="B88" s="316" t="s">
        <v>289</v>
      </c>
      <c r="C88" s="293" t="str">
        <f>C$84&amp;".4"</f>
        <v>1.2.1.4</v>
      </c>
      <c r="D88" s="1631" t="s">
        <v>290</v>
      </c>
      <c r="E88" s="1418"/>
    </row>
    <row r="89" spans="2:6" s="278" customFormat="1" ht="21.9" customHeight="1" x14ac:dyDescent="0.3">
      <c r="B89" s="316" t="s">
        <v>291</v>
      </c>
      <c r="C89" s="293" t="str">
        <f>C$88&amp;".1"</f>
        <v>1.2.1.4.1</v>
      </c>
      <c r="D89" s="1634" t="s">
        <v>292</v>
      </c>
      <c r="E89" s="1418"/>
    </row>
    <row r="90" spans="2:6" s="278" customFormat="1" ht="21.9" customHeight="1" x14ac:dyDescent="0.3">
      <c r="B90" s="316" t="s">
        <v>293</v>
      </c>
      <c r="C90" s="293" t="str">
        <f>C$88&amp;".2"</f>
        <v>1.2.1.4.2</v>
      </c>
      <c r="D90" s="1634" t="s">
        <v>294</v>
      </c>
      <c r="E90" s="1418"/>
    </row>
    <row r="91" spans="2:6" s="278" customFormat="1" ht="21.9" customHeight="1" x14ac:dyDescent="0.3">
      <c r="B91" s="317" t="s">
        <v>295</v>
      </c>
      <c r="C91" s="293" t="str">
        <f>C$88&amp;".3"</f>
        <v>1.2.1.4.3</v>
      </c>
      <c r="D91" s="1634" t="s">
        <v>296</v>
      </c>
      <c r="E91" s="1418"/>
    </row>
    <row r="92" spans="2:6" s="278" customFormat="1" ht="21.9" customHeight="1" x14ac:dyDescent="0.3">
      <c r="B92" s="317" t="s">
        <v>297</v>
      </c>
      <c r="C92" s="293" t="str">
        <f>C$84&amp;".5"</f>
        <v>1.2.1.5</v>
      </c>
      <c r="D92" s="1631" t="s">
        <v>298</v>
      </c>
      <c r="E92" s="1418"/>
    </row>
    <row r="93" spans="2:6" s="278" customFormat="1" ht="39.9" customHeight="1" x14ac:dyDescent="0.3">
      <c r="B93" s="316" t="s">
        <v>299</v>
      </c>
      <c r="C93" s="292" t="str">
        <f>C$83&amp;".2"</f>
        <v>1.2.2</v>
      </c>
      <c r="D93" s="1635" t="s">
        <v>300</v>
      </c>
      <c r="E93" s="1418"/>
    </row>
    <row r="94" spans="2:6" s="278" customFormat="1" ht="21.9" customHeight="1" x14ac:dyDescent="0.3">
      <c r="B94" s="316" t="s">
        <v>301</v>
      </c>
      <c r="C94" s="292" t="str">
        <f>C$83&amp;".3"</f>
        <v>1.2.3</v>
      </c>
      <c r="D94" s="1575" t="s">
        <v>302</v>
      </c>
      <c r="E94" s="1418"/>
    </row>
    <row r="95" spans="2:6" s="278" customFormat="1" ht="39.9" customHeight="1" x14ac:dyDescent="0.3">
      <c r="B95" s="316" t="s">
        <v>303</v>
      </c>
      <c r="C95" s="292" t="str">
        <f>C$83&amp;".4"</f>
        <v>1.2.4</v>
      </c>
      <c r="D95" s="1635" t="s">
        <v>304</v>
      </c>
      <c r="E95" s="1418"/>
    </row>
    <row r="96" spans="2:6" s="278" customFormat="1" ht="21.9" customHeight="1" x14ac:dyDescent="0.3">
      <c r="B96" s="316" t="s">
        <v>305</v>
      </c>
      <c r="C96" s="292" t="str">
        <f>C$83&amp;".5"</f>
        <v>1.2.5</v>
      </c>
      <c r="D96" s="1575" t="s">
        <v>306</v>
      </c>
      <c r="E96" s="1418"/>
      <c r="F96" s="25"/>
    </row>
    <row r="97" spans="2:5" s="278" customFormat="1" ht="21.9" customHeight="1" x14ac:dyDescent="0.3">
      <c r="B97" s="316" t="s">
        <v>307</v>
      </c>
      <c r="C97" s="292" t="str">
        <f>C$83&amp;".6"</f>
        <v>1.2.6</v>
      </c>
      <c r="D97" s="1575" t="s">
        <v>308</v>
      </c>
      <c r="E97" s="1418"/>
    </row>
    <row r="98" spans="2:5" s="278" customFormat="1" ht="21.9" customHeight="1" x14ac:dyDescent="0.3">
      <c r="B98" s="316" t="s">
        <v>309</v>
      </c>
      <c r="C98" s="292" t="str">
        <f>C$83&amp;".7"</f>
        <v>1.2.7</v>
      </c>
      <c r="D98" s="1575" t="s">
        <v>310</v>
      </c>
      <c r="E98" s="1418"/>
    </row>
    <row r="99" spans="2:5" s="278" customFormat="1" ht="39.9" customHeight="1" x14ac:dyDescent="0.3">
      <c r="B99" s="316" t="s">
        <v>311</v>
      </c>
      <c r="C99" s="292" t="str">
        <f>C$83&amp;".8"</f>
        <v>1.2.8</v>
      </c>
      <c r="D99" s="1575" t="s">
        <v>312</v>
      </c>
      <c r="E99" s="1418"/>
    </row>
    <row r="100" spans="2:5" s="278" customFormat="1" ht="34.5" customHeight="1" x14ac:dyDescent="0.3">
      <c r="B100" s="316" t="s">
        <v>313</v>
      </c>
      <c r="C100" s="292" t="str">
        <f>C$83&amp;".9"</f>
        <v>1.2.9</v>
      </c>
      <c r="D100" s="19" t="s">
        <v>314</v>
      </c>
      <c r="E100" s="1418"/>
    </row>
    <row r="101" spans="2:5" s="278" customFormat="1" ht="21.9" customHeight="1" x14ac:dyDescent="0.3">
      <c r="B101" s="316" t="s">
        <v>315</v>
      </c>
      <c r="C101" s="292" t="str">
        <f>C$83&amp;".10"</f>
        <v>1.2.10</v>
      </c>
      <c r="D101" s="27" t="s">
        <v>316</v>
      </c>
      <c r="E101" s="1418"/>
    </row>
    <row r="102" spans="2:5" s="278" customFormat="1" ht="21.9" customHeight="1" x14ac:dyDescent="0.3">
      <c r="B102" s="316" t="s">
        <v>317</v>
      </c>
      <c r="C102" s="292" t="str">
        <f>C$83&amp;".11"</f>
        <v>1.2.11</v>
      </c>
      <c r="D102" s="19" t="s">
        <v>318</v>
      </c>
      <c r="E102" s="1418"/>
    </row>
    <row r="103" spans="2:5" s="278" customFormat="1" ht="21.9" customHeight="1" x14ac:dyDescent="0.3">
      <c r="B103" s="316" t="s">
        <v>319</v>
      </c>
      <c r="C103" s="292" t="str">
        <f>C$83&amp;".12"</f>
        <v>1.2.12</v>
      </c>
      <c r="D103" s="27" t="s">
        <v>320</v>
      </c>
      <c r="E103" s="1418"/>
    </row>
    <row r="104" spans="2:5" s="278" customFormat="1" ht="21.9" customHeight="1" thickBot="1" x14ac:dyDescent="0.35">
      <c r="B104" s="318" t="s">
        <v>321</v>
      </c>
      <c r="C104" s="295" t="str">
        <f>C$83&amp;".13"</f>
        <v>1.2.13</v>
      </c>
      <c r="D104" s="28" t="s">
        <v>322</v>
      </c>
      <c r="E104" s="1423"/>
    </row>
  </sheetData>
  <mergeCells count="1">
    <mergeCell ref="B2:E2"/>
  </mergeCells>
  <printOptions horizontalCentered="1" verticalCentered="1"/>
  <pageMargins left="0.70866141732283472" right="0.70866141732283472" top="0.74803149606299213" bottom="0.74803149606299213" header="0.31496062992125984" footer="0.31496062992125984"/>
  <pageSetup paperSize="9" scale="55" fitToHeight="2" pageOrder="overThenDown" orientation="portrait" r:id="rId1"/>
  <headerFooter>
    <oddHeader>&amp;CFR
ANNEXE I</oddHeader>
    <oddFooter>&amp;C&amp;P</oddFooter>
  </headerFooter>
  <rowBreaks count="1" manualBreakCount="1">
    <brk id="55" min="1" max="5" man="1"/>
  </rowBreaks>
  <ignoredErrors>
    <ignoredError sqref="C6 B11:B104 B5:B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J81"/>
  <sheetViews>
    <sheetView showGridLines="0" topLeftCell="A58" zoomScale="85" zoomScaleNormal="85" workbookViewId="0">
      <selection activeCell="D63" sqref="D63"/>
    </sheetView>
  </sheetViews>
  <sheetFormatPr defaultColWidth="11.44140625" defaultRowHeight="13.8" x14ac:dyDescent="0.25"/>
  <cols>
    <col min="1" max="1" width="2.109375" style="23" customWidth="1"/>
    <col min="2" max="2" width="8.6640625" style="29" customWidth="1"/>
    <col min="3" max="3" width="16.109375" style="23" customWidth="1"/>
    <col min="4" max="4" width="103.5546875" style="23" customWidth="1"/>
    <col min="5" max="5" width="22" style="24" customWidth="1"/>
    <col min="6" max="16384" width="11.44140625" style="23"/>
  </cols>
  <sheetData>
    <row r="1" spans="2:10" ht="7.5" customHeight="1" thickBot="1" x14ac:dyDescent="0.25"/>
    <row r="2" spans="2:10" ht="28.5" customHeight="1" thickBot="1" x14ac:dyDescent="0.3">
      <c r="B2" s="1788" t="s">
        <v>323</v>
      </c>
      <c r="C2" s="1789"/>
      <c r="D2" s="1789"/>
      <c r="E2" s="1790"/>
    </row>
    <row r="3" spans="2:10" s="1424" customFormat="1" ht="8.25" customHeight="1" thickBot="1" x14ac:dyDescent="0.3">
      <c r="B3" s="1427"/>
      <c r="C3" s="1428"/>
      <c r="D3" s="1428"/>
      <c r="E3" s="1428"/>
    </row>
    <row r="4" spans="2:10" ht="20.25" customHeight="1" x14ac:dyDescent="0.3">
      <c r="B4" s="1426" t="s">
        <v>324</v>
      </c>
      <c r="C4" s="322" t="s">
        <v>325</v>
      </c>
      <c r="D4" s="322" t="s">
        <v>326</v>
      </c>
      <c r="E4" s="321" t="s">
        <v>327</v>
      </c>
    </row>
    <row r="5" spans="2:10" ht="21.9" customHeight="1" x14ac:dyDescent="0.25">
      <c r="B5" s="313" t="s">
        <v>328</v>
      </c>
      <c r="C5" s="284" t="s">
        <v>329</v>
      </c>
      <c r="D5" s="1429" t="s">
        <v>330</v>
      </c>
      <c r="E5" s="1432"/>
    </row>
    <row r="6" spans="2:10" ht="31.5" customHeight="1" x14ac:dyDescent="0.3">
      <c r="B6" s="313" t="s">
        <v>331</v>
      </c>
      <c r="C6" s="283" t="s">
        <v>332</v>
      </c>
      <c r="D6" s="1576" t="s">
        <v>333</v>
      </c>
      <c r="E6" s="1433"/>
    </row>
    <row r="7" spans="2:10" ht="35.25" customHeight="1" x14ac:dyDescent="0.3">
      <c r="B7" s="313" t="s">
        <v>334</v>
      </c>
      <c r="C7" s="283" t="s">
        <v>335</v>
      </c>
      <c r="D7" s="1576" t="s">
        <v>336</v>
      </c>
      <c r="E7" s="1433"/>
    </row>
    <row r="8" spans="2:10" ht="39" customHeight="1" x14ac:dyDescent="0.3">
      <c r="B8" s="313" t="s">
        <v>337</v>
      </c>
      <c r="C8" s="284" t="s">
        <v>338</v>
      </c>
      <c r="D8" s="287" t="s">
        <v>339</v>
      </c>
      <c r="E8" s="1434"/>
    </row>
    <row r="9" spans="2:10" ht="21.9" customHeight="1" x14ac:dyDescent="0.25">
      <c r="B9" s="313" t="s">
        <v>340</v>
      </c>
      <c r="C9" s="284" t="s">
        <v>341</v>
      </c>
      <c r="D9" s="13" t="s">
        <v>342</v>
      </c>
      <c r="E9" s="1433"/>
    </row>
    <row r="10" spans="2:10" ht="36" customHeight="1" x14ac:dyDescent="0.3">
      <c r="B10" s="313" t="s">
        <v>343</v>
      </c>
      <c r="C10" s="283" t="s">
        <v>344</v>
      </c>
      <c r="D10" s="289" t="s">
        <v>345</v>
      </c>
      <c r="E10" s="1433"/>
    </row>
    <row r="11" spans="2:10" ht="21.9" customHeight="1" x14ac:dyDescent="0.25">
      <c r="B11" s="313" t="s">
        <v>346</v>
      </c>
      <c r="C11" s="283" t="s">
        <v>347</v>
      </c>
      <c r="D11" s="20" t="s">
        <v>348</v>
      </c>
      <c r="E11" s="1435"/>
    </row>
    <row r="12" spans="2:10" ht="21.9" customHeight="1" x14ac:dyDescent="0.3">
      <c r="B12" s="313" t="s">
        <v>349</v>
      </c>
      <c r="C12" s="283" t="s">
        <v>350</v>
      </c>
      <c r="D12" s="20" t="s">
        <v>351</v>
      </c>
      <c r="E12" s="1435"/>
    </row>
    <row r="13" spans="2:10" ht="21.9" customHeight="1" x14ac:dyDescent="0.3">
      <c r="B13" s="313" t="s">
        <v>352</v>
      </c>
      <c r="C13" s="283" t="s">
        <v>353</v>
      </c>
      <c r="D13" s="20" t="s">
        <v>354</v>
      </c>
      <c r="E13" s="1435"/>
    </row>
    <row r="14" spans="2:10" ht="21.9" customHeight="1" x14ac:dyDescent="0.3">
      <c r="B14" s="313" t="s">
        <v>355</v>
      </c>
      <c r="C14" s="283" t="s">
        <v>356</v>
      </c>
      <c r="D14" s="20" t="s">
        <v>357</v>
      </c>
      <c r="E14" s="1435"/>
    </row>
    <row r="15" spans="2:10" ht="21.9" customHeight="1" x14ac:dyDescent="0.25">
      <c r="B15" s="313" t="s">
        <v>358</v>
      </c>
      <c r="C15" s="283" t="s">
        <v>359</v>
      </c>
      <c r="D15" s="20" t="s">
        <v>360</v>
      </c>
      <c r="E15" s="1435"/>
    </row>
    <row r="16" spans="2:10" ht="21.9" customHeight="1" x14ac:dyDescent="0.3">
      <c r="B16" s="313" t="s">
        <v>361</v>
      </c>
      <c r="C16" s="283" t="s">
        <v>362</v>
      </c>
      <c r="D16" s="20" t="s">
        <v>363</v>
      </c>
      <c r="E16" s="1435"/>
      <c r="J16" s="300"/>
    </row>
    <row r="17" spans="2:5" ht="21.9" customHeight="1" x14ac:dyDescent="0.25">
      <c r="B17" s="313" t="s">
        <v>364</v>
      </c>
      <c r="C17" s="283" t="s">
        <v>365</v>
      </c>
      <c r="D17" s="20" t="s">
        <v>366</v>
      </c>
      <c r="E17" s="1435"/>
    </row>
    <row r="18" spans="2:5" ht="21.9" customHeight="1" x14ac:dyDescent="0.3">
      <c r="B18" s="313" t="s">
        <v>367</v>
      </c>
      <c r="C18" s="283" t="s">
        <v>368</v>
      </c>
      <c r="D18" s="20" t="s">
        <v>369</v>
      </c>
      <c r="E18" s="1435"/>
    </row>
    <row r="19" spans="2:5" ht="21.9" customHeight="1" x14ac:dyDescent="0.3">
      <c r="B19" s="313" t="s">
        <v>370</v>
      </c>
      <c r="C19" s="283" t="s">
        <v>371</v>
      </c>
      <c r="D19" s="20" t="s">
        <v>372</v>
      </c>
      <c r="E19" s="1435"/>
    </row>
    <row r="20" spans="2:5" ht="21.9" customHeight="1" x14ac:dyDescent="0.3">
      <c r="B20" s="313" t="s">
        <v>373</v>
      </c>
      <c r="C20" s="283" t="s">
        <v>374</v>
      </c>
      <c r="D20" s="20" t="s">
        <v>375</v>
      </c>
      <c r="E20" s="1435"/>
    </row>
    <row r="21" spans="2:5" ht="21.9" customHeight="1" x14ac:dyDescent="0.3">
      <c r="B21" s="313" t="s">
        <v>376</v>
      </c>
      <c r="C21" s="283" t="s">
        <v>377</v>
      </c>
      <c r="D21" s="20" t="s">
        <v>378</v>
      </c>
      <c r="E21" s="1433"/>
    </row>
    <row r="22" spans="2:5" ht="21.9" customHeight="1" x14ac:dyDescent="0.25">
      <c r="B22" s="313" t="s">
        <v>379</v>
      </c>
      <c r="C22" s="283" t="s">
        <v>380</v>
      </c>
      <c r="D22" s="20" t="s">
        <v>381</v>
      </c>
      <c r="E22" s="1433"/>
    </row>
    <row r="23" spans="2:5" ht="33.75" customHeight="1" x14ac:dyDescent="0.3">
      <c r="B23" s="313" t="s">
        <v>382</v>
      </c>
      <c r="C23" s="283" t="s">
        <v>383</v>
      </c>
      <c r="D23" s="20" t="s">
        <v>384</v>
      </c>
      <c r="E23" s="1435"/>
    </row>
    <row r="24" spans="2:5" ht="21.9" customHeight="1" x14ac:dyDescent="0.25">
      <c r="B24" s="313" t="s">
        <v>385</v>
      </c>
      <c r="C24" s="283" t="s">
        <v>386</v>
      </c>
      <c r="D24" s="20" t="s">
        <v>387</v>
      </c>
      <c r="E24" s="1435"/>
    </row>
    <row r="25" spans="2:5" ht="21.9" customHeight="1" x14ac:dyDescent="0.25">
      <c r="B25" s="313" t="s">
        <v>388</v>
      </c>
      <c r="C25" s="283" t="s">
        <v>389</v>
      </c>
      <c r="D25" s="20" t="s">
        <v>390</v>
      </c>
      <c r="E25" s="1435"/>
    </row>
    <row r="26" spans="2:5" ht="21.9" customHeight="1" x14ac:dyDescent="0.3">
      <c r="B26" s="314" t="s">
        <v>391</v>
      </c>
      <c r="C26" s="283" t="s">
        <v>392</v>
      </c>
      <c r="D26" s="20" t="s">
        <v>393</v>
      </c>
      <c r="E26" s="1435"/>
    </row>
    <row r="27" spans="2:5" ht="21.9" customHeight="1" x14ac:dyDescent="0.25">
      <c r="B27" s="313" t="s">
        <v>394</v>
      </c>
      <c r="C27" s="283" t="s">
        <v>395</v>
      </c>
      <c r="D27" s="14" t="s">
        <v>396</v>
      </c>
      <c r="E27" s="1433"/>
    </row>
    <row r="28" spans="2:5" ht="21.9" customHeight="1" x14ac:dyDescent="0.25">
      <c r="B28" s="313" t="s">
        <v>397</v>
      </c>
      <c r="C28" s="283" t="s">
        <v>398</v>
      </c>
      <c r="D28" s="30" t="s">
        <v>399</v>
      </c>
      <c r="E28" s="1433"/>
    </row>
    <row r="29" spans="2:5" ht="21.9" customHeight="1" x14ac:dyDescent="0.3">
      <c r="B29" s="313" t="s">
        <v>400</v>
      </c>
      <c r="C29" s="284" t="s">
        <v>401</v>
      </c>
      <c r="D29" s="13" t="s">
        <v>402</v>
      </c>
      <c r="E29" s="1433"/>
    </row>
    <row r="30" spans="2:5" ht="35.25" customHeight="1" x14ac:dyDescent="0.3">
      <c r="B30" s="313" t="s">
        <v>403</v>
      </c>
      <c r="C30" s="283" t="s">
        <v>404</v>
      </c>
      <c r="D30" s="14" t="s">
        <v>405</v>
      </c>
      <c r="E30" s="1433"/>
    </row>
    <row r="31" spans="2:5" ht="21.9" customHeight="1" x14ac:dyDescent="0.25">
      <c r="B31" s="313" t="s">
        <v>406</v>
      </c>
      <c r="C31" s="283" t="s">
        <v>407</v>
      </c>
      <c r="D31" s="20" t="s">
        <v>408</v>
      </c>
      <c r="E31" s="1435"/>
    </row>
    <row r="32" spans="2:5" ht="21.9" customHeight="1" x14ac:dyDescent="0.3">
      <c r="B32" s="313" t="s">
        <v>409</v>
      </c>
      <c r="C32" s="283" t="s">
        <v>410</v>
      </c>
      <c r="D32" s="20" t="s">
        <v>411</v>
      </c>
      <c r="E32" s="1435"/>
    </row>
    <row r="33" spans="2:5" ht="21.9" customHeight="1" x14ac:dyDescent="0.25">
      <c r="B33" s="313" t="s">
        <v>412</v>
      </c>
      <c r="C33" s="283" t="s">
        <v>413</v>
      </c>
      <c r="D33" s="20" t="s">
        <v>414</v>
      </c>
      <c r="E33" s="1436"/>
    </row>
    <row r="34" spans="2:5" ht="21.9" customHeight="1" x14ac:dyDescent="0.3">
      <c r="B34" s="313" t="s">
        <v>415</v>
      </c>
      <c r="C34" s="283" t="s">
        <v>416</v>
      </c>
      <c r="D34" s="20" t="s">
        <v>417</v>
      </c>
      <c r="E34" s="1436"/>
    </row>
    <row r="35" spans="2:5" ht="21.9" customHeight="1" x14ac:dyDescent="0.25">
      <c r="B35" s="313" t="s">
        <v>418</v>
      </c>
      <c r="C35" s="283" t="s">
        <v>419</v>
      </c>
      <c r="D35" s="20" t="s">
        <v>420</v>
      </c>
      <c r="E35" s="1436"/>
    </row>
    <row r="36" spans="2:5" ht="31.5" customHeight="1" x14ac:dyDescent="0.3">
      <c r="B36" s="313" t="s">
        <v>421</v>
      </c>
      <c r="C36" s="283" t="s">
        <v>422</v>
      </c>
      <c r="D36" s="14" t="s">
        <v>423</v>
      </c>
      <c r="E36" s="1433"/>
    </row>
    <row r="37" spans="2:5" ht="21.9" customHeight="1" x14ac:dyDescent="0.25">
      <c r="B37" s="313" t="s">
        <v>424</v>
      </c>
      <c r="C37" s="283" t="s">
        <v>425</v>
      </c>
      <c r="D37" s="20" t="s">
        <v>426</v>
      </c>
      <c r="E37" s="1435"/>
    </row>
    <row r="38" spans="2:5" ht="21.9" customHeight="1" x14ac:dyDescent="0.3">
      <c r="B38" s="313" t="s">
        <v>427</v>
      </c>
      <c r="C38" s="283" t="s">
        <v>428</v>
      </c>
      <c r="D38" s="20" t="s">
        <v>429</v>
      </c>
      <c r="E38" s="1435"/>
    </row>
    <row r="39" spans="2:5" ht="21.9" customHeight="1" x14ac:dyDescent="0.25">
      <c r="B39" s="313" t="s">
        <v>430</v>
      </c>
      <c r="C39" s="283" t="s">
        <v>431</v>
      </c>
      <c r="D39" s="20" t="s">
        <v>432</v>
      </c>
      <c r="E39" s="1436"/>
    </row>
    <row r="40" spans="2:5" ht="21.9" customHeight="1" x14ac:dyDescent="0.3">
      <c r="B40" s="313" t="s">
        <v>433</v>
      </c>
      <c r="C40" s="283" t="s">
        <v>434</v>
      </c>
      <c r="D40" s="20" t="s">
        <v>435</v>
      </c>
      <c r="E40" s="1436"/>
    </row>
    <row r="41" spans="2:5" ht="21.9" customHeight="1" x14ac:dyDescent="0.25">
      <c r="B41" s="313" t="s">
        <v>436</v>
      </c>
      <c r="C41" s="283" t="s">
        <v>437</v>
      </c>
      <c r="D41" s="20" t="s">
        <v>438</v>
      </c>
      <c r="E41" s="1436"/>
    </row>
    <row r="42" spans="2:5" ht="21.9" customHeight="1" x14ac:dyDescent="0.3">
      <c r="B42" s="313" t="s">
        <v>439</v>
      </c>
      <c r="C42" s="283" t="s">
        <v>440</v>
      </c>
      <c r="D42" s="20" t="s">
        <v>441</v>
      </c>
      <c r="E42" s="1436"/>
    </row>
    <row r="43" spans="2:5" ht="21.9" customHeight="1" x14ac:dyDescent="0.3">
      <c r="B43" s="313" t="s">
        <v>442</v>
      </c>
      <c r="C43" s="283" t="s">
        <v>443</v>
      </c>
      <c r="D43" s="20" t="s">
        <v>444</v>
      </c>
      <c r="E43" s="1436"/>
    </row>
    <row r="44" spans="2:5" ht="21.9" customHeight="1" x14ac:dyDescent="0.3">
      <c r="B44" s="313" t="s">
        <v>445</v>
      </c>
      <c r="C44" s="283" t="s">
        <v>446</v>
      </c>
      <c r="D44" s="20" t="s">
        <v>447</v>
      </c>
      <c r="E44" s="1436"/>
    </row>
    <row r="45" spans="2:5" ht="21.9" customHeight="1" x14ac:dyDescent="0.3">
      <c r="B45" s="313" t="s">
        <v>448</v>
      </c>
      <c r="C45" s="283" t="s">
        <v>449</v>
      </c>
      <c r="D45" s="20" t="s">
        <v>450</v>
      </c>
      <c r="E45" s="1436"/>
    </row>
    <row r="46" spans="2:5" ht="21.9" customHeight="1" x14ac:dyDescent="0.3">
      <c r="B46" s="313" t="s">
        <v>451</v>
      </c>
      <c r="C46" s="283" t="s">
        <v>452</v>
      </c>
      <c r="D46" s="20" t="s">
        <v>453</v>
      </c>
      <c r="E46" s="1436"/>
    </row>
    <row r="47" spans="2:5" ht="21.9" customHeight="1" x14ac:dyDescent="0.25">
      <c r="B47" s="313" t="s">
        <v>454</v>
      </c>
      <c r="C47" s="283" t="s">
        <v>455</v>
      </c>
      <c r="D47" s="14" t="s">
        <v>456</v>
      </c>
      <c r="E47" s="1433"/>
    </row>
    <row r="48" spans="2:5" ht="21.9" customHeight="1" x14ac:dyDescent="0.25">
      <c r="B48" s="313" t="s">
        <v>457</v>
      </c>
      <c r="C48" s="283" t="s">
        <v>458</v>
      </c>
      <c r="D48" s="14" t="s">
        <v>459</v>
      </c>
      <c r="E48" s="1433"/>
    </row>
    <row r="49" spans="2:5" ht="21.9" customHeight="1" x14ac:dyDescent="0.25">
      <c r="B49" s="313" t="s">
        <v>460</v>
      </c>
      <c r="C49" s="283" t="s">
        <v>461</v>
      </c>
      <c r="D49" s="30" t="s">
        <v>462</v>
      </c>
      <c r="E49" s="1433"/>
    </row>
    <row r="50" spans="2:5" ht="21.9" customHeight="1" x14ac:dyDescent="0.3">
      <c r="B50" s="313" t="s">
        <v>463</v>
      </c>
      <c r="C50" s="283" t="s">
        <v>464</v>
      </c>
      <c r="D50" s="14" t="s">
        <v>465</v>
      </c>
      <c r="E50" s="1433"/>
    </row>
    <row r="51" spans="2:5" ht="40.5" customHeight="1" x14ac:dyDescent="0.3">
      <c r="B51" s="313" t="s">
        <v>466</v>
      </c>
      <c r="C51" s="284" t="s">
        <v>467</v>
      </c>
      <c r="D51" s="17" t="s">
        <v>468</v>
      </c>
      <c r="E51" s="1433"/>
    </row>
    <row r="52" spans="2:5" ht="21.9" customHeight="1" x14ac:dyDescent="0.3">
      <c r="B52" s="313" t="s">
        <v>469</v>
      </c>
      <c r="C52" s="284" t="s">
        <v>470</v>
      </c>
      <c r="D52" s="13" t="s">
        <v>471</v>
      </c>
      <c r="E52" s="1433"/>
    </row>
    <row r="53" spans="2:5" ht="21.9" customHeight="1" x14ac:dyDescent="0.3">
      <c r="B53" s="313" t="s">
        <v>472</v>
      </c>
      <c r="C53" s="284" t="s">
        <v>473</v>
      </c>
      <c r="D53" s="17" t="s">
        <v>474</v>
      </c>
      <c r="E53" s="1433"/>
    </row>
    <row r="54" spans="2:5" ht="21.9" customHeight="1" x14ac:dyDescent="0.3">
      <c r="B54" s="313" t="s">
        <v>475</v>
      </c>
      <c r="C54" s="284" t="s">
        <v>476</v>
      </c>
      <c r="D54" s="17" t="s">
        <v>477</v>
      </c>
      <c r="E54" s="1433"/>
    </row>
    <row r="55" spans="2:5" ht="39.9" customHeight="1" x14ac:dyDescent="0.3">
      <c r="B55" s="313" t="s">
        <v>478</v>
      </c>
      <c r="C55" s="284" t="s">
        <v>479</v>
      </c>
      <c r="D55" s="13" t="s">
        <v>480</v>
      </c>
      <c r="E55" s="1434"/>
    </row>
    <row r="56" spans="2:5" ht="39.9" customHeight="1" x14ac:dyDescent="0.3">
      <c r="B56" s="313" t="s">
        <v>481</v>
      </c>
      <c r="C56" s="284" t="s">
        <v>482</v>
      </c>
      <c r="D56" s="17" t="s">
        <v>483</v>
      </c>
      <c r="E56" s="1433"/>
    </row>
    <row r="57" spans="2:5" ht="21.9" customHeight="1" x14ac:dyDescent="0.3">
      <c r="B57" s="313" t="s">
        <v>484</v>
      </c>
      <c r="C57" s="283" t="s">
        <v>485</v>
      </c>
      <c r="D57" s="14" t="s">
        <v>486</v>
      </c>
      <c r="E57" s="1435"/>
    </row>
    <row r="58" spans="2:5" ht="21.9" customHeight="1" x14ac:dyDescent="0.25">
      <c r="B58" s="313" t="s">
        <v>487</v>
      </c>
      <c r="C58" s="283" t="s">
        <v>488</v>
      </c>
      <c r="D58" s="14" t="s">
        <v>489</v>
      </c>
      <c r="E58" s="1435"/>
    </row>
    <row r="59" spans="2:5" ht="21.9" customHeight="1" x14ac:dyDescent="0.3">
      <c r="B59" s="313" t="s">
        <v>490</v>
      </c>
      <c r="C59" s="1676" t="s">
        <v>491</v>
      </c>
      <c r="D59" s="1677" t="s">
        <v>492</v>
      </c>
      <c r="E59" s="1678"/>
    </row>
    <row r="60" spans="2:5" ht="21.9" customHeight="1" x14ac:dyDescent="0.3">
      <c r="B60" s="313" t="s">
        <v>493</v>
      </c>
      <c r="C60" s="1676" t="s">
        <v>494</v>
      </c>
      <c r="D60" s="1677" t="s">
        <v>495</v>
      </c>
      <c r="E60" s="1678"/>
    </row>
    <row r="61" spans="2:5" ht="33.75" customHeight="1" x14ac:dyDescent="0.3">
      <c r="B61" s="313" t="s">
        <v>496</v>
      </c>
      <c r="C61" s="1676" t="s">
        <v>497</v>
      </c>
      <c r="D61" s="1677" t="s">
        <v>498</v>
      </c>
      <c r="E61" s="1678"/>
    </row>
    <row r="62" spans="2:5" ht="21.9" customHeight="1" x14ac:dyDescent="0.25">
      <c r="B62" s="313" t="s">
        <v>499</v>
      </c>
      <c r="C62" s="1676" t="s">
        <v>500</v>
      </c>
      <c r="D62" s="1677" t="s">
        <v>501</v>
      </c>
      <c r="E62" s="1678"/>
    </row>
    <row r="63" spans="2:5" ht="21.9" customHeight="1" x14ac:dyDescent="0.3">
      <c r="B63" s="313" t="s">
        <v>502</v>
      </c>
      <c r="C63" s="1676" t="s">
        <v>503</v>
      </c>
      <c r="D63" s="1677" t="s">
        <v>504</v>
      </c>
      <c r="E63" s="1678"/>
    </row>
    <row r="64" spans="2:5" ht="39.9" customHeight="1" x14ac:dyDescent="0.3">
      <c r="B64" s="313" t="s">
        <v>505</v>
      </c>
      <c r="C64" s="284" t="s">
        <v>506</v>
      </c>
      <c r="D64" s="17" t="s">
        <v>507</v>
      </c>
      <c r="E64" s="1433"/>
    </row>
    <row r="65" spans="2:5" ht="21.9" customHeight="1" x14ac:dyDescent="0.3">
      <c r="B65" s="313" t="s">
        <v>508</v>
      </c>
      <c r="C65" s="284" t="s">
        <v>509</v>
      </c>
      <c r="D65" s="13" t="s">
        <v>510</v>
      </c>
      <c r="E65" s="1434"/>
    </row>
    <row r="66" spans="2:5" ht="21.9" customHeight="1" x14ac:dyDescent="0.3">
      <c r="B66" s="313" t="s">
        <v>511</v>
      </c>
      <c r="C66" s="284" t="s">
        <v>512</v>
      </c>
      <c r="D66" s="17" t="s">
        <v>513</v>
      </c>
      <c r="E66" s="1433"/>
    </row>
    <row r="67" spans="2:5" ht="21.9" customHeight="1" x14ac:dyDescent="0.25">
      <c r="B67" s="313" t="s">
        <v>514</v>
      </c>
      <c r="C67" s="284" t="s">
        <v>515</v>
      </c>
      <c r="D67" s="17" t="s">
        <v>516</v>
      </c>
      <c r="E67" s="1433"/>
    </row>
    <row r="68" spans="2:5" ht="21.9" customHeight="1" x14ac:dyDescent="0.3">
      <c r="B68" s="313" t="s">
        <v>517</v>
      </c>
      <c r="C68" s="284" t="s">
        <v>518</v>
      </c>
      <c r="D68" s="17" t="s">
        <v>519</v>
      </c>
      <c r="E68" s="1433"/>
    </row>
    <row r="69" spans="2:5" ht="21.9" customHeight="1" x14ac:dyDescent="0.3">
      <c r="B69" s="313" t="s">
        <v>520</v>
      </c>
      <c r="C69" s="285" t="s">
        <v>521</v>
      </c>
      <c r="D69" s="13" t="s">
        <v>522</v>
      </c>
      <c r="E69" s="1433"/>
    </row>
    <row r="70" spans="2:5" ht="33.75" customHeight="1" x14ac:dyDescent="0.3">
      <c r="B70" s="313" t="s">
        <v>523</v>
      </c>
      <c r="C70" s="284" t="s">
        <v>524</v>
      </c>
      <c r="D70" s="13" t="s">
        <v>525</v>
      </c>
      <c r="E70" s="1437"/>
    </row>
    <row r="71" spans="2:5" ht="21.9" customHeight="1" x14ac:dyDescent="0.3">
      <c r="B71" s="313" t="s">
        <v>526</v>
      </c>
      <c r="C71" s="284" t="s">
        <v>527</v>
      </c>
      <c r="D71" s="17" t="s">
        <v>528</v>
      </c>
      <c r="E71" s="1437"/>
    </row>
    <row r="72" spans="2:5" ht="21.9" customHeight="1" x14ac:dyDescent="0.3">
      <c r="B72" s="313" t="s">
        <v>529</v>
      </c>
      <c r="C72" s="284" t="s">
        <v>530</v>
      </c>
      <c r="D72" s="17" t="s">
        <v>531</v>
      </c>
      <c r="E72" s="1437"/>
    </row>
    <row r="73" spans="2:5" ht="21.9" customHeight="1" x14ac:dyDescent="0.3">
      <c r="B73" s="313" t="s">
        <v>532</v>
      </c>
      <c r="C73" s="284" t="s">
        <v>533</v>
      </c>
      <c r="D73" s="17" t="s">
        <v>534</v>
      </c>
      <c r="E73" s="1437"/>
    </row>
    <row r="74" spans="2:5" ht="39.9" customHeight="1" x14ac:dyDescent="0.3">
      <c r="B74" s="313" t="s">
        <v>535</v>
      </c>
      <c r="C74" s="288" t="s">
        <v>536</v>
      </c>
      <c r="D74" s="13" t="s">
        <v>537</v>
      </c>
      <c r="E74" s="1438"/>
    </row>
    <row r="75" spans="2:5" ht="21.9" customHeight="1" x14ac:dyDescent="0.25">
      <c r="B75" s="313" t="s">
        <v>538</v>
      </c>
      <c r="C75" s="288" t="s">
        <v>539</v>
      </c>
      <c r="D75" s="13" t="s">
        <v>540</v>
      </c>
      <c r="E75" s="1438"/>
    </row>
    <row r="76" spans="2:5" s="278" customFormat="1" ht="21.9" customHeight="1" x14ac:dyDescent="0.3">
      <c r="B76" s="313" t="s">
        <v>541</v>
      </c>
      <c r="C76" s="288" t="s">
        <v>542</v>
      </c>
      <c r="D76" s="17" t="s">
        <v>543</v>
      </c>
      <c r="E76" s="1438"/>
    </row>
    <row r="77" spans="2:5" ht="21.9" customHeight="1" x14ac:dyDescent="0.25">
      <c r="B77" s="313" t="s">
        <v>544</v>
      </c>
      <c r="C77" s="296" t="s">
        <v>545</v>
      </c>
      <c r="D77" s="14" t="s">
        <v>546</v>
      </c>
      <c r="E77" s="1438"/>
    </row>
    <row r="78" spans="2:5" ht="39.9" customHeight="1" x14ac:dyDescent="0.3">
      <c r="B78" s="313" t="s">
        <v>547</v>
      </c>
      <c r="C78" s="296" t="s">
        <v>548</v>
      </c>
      <c r="D78" s="14" t="s">
        <v>549</v>
      </c>
      <c r="E78" s="1438"/>
    </row>
    <row r="79" spans="2:5" ht="21.9" customHeight="1" x14ac:dyDescent="0.25">
      <c r="B79" s="313" t="s">
        <v>550</v>
      </c>
      <c r="C79" s="296" t="s">
        <v>551</v>
      </c>
      <c r="D79" s="14" t="s">
        <v>552</v>
      </c>
      <c r="E79" s="1438"/>
    </row>
    <row r="80" spans="2:5" s="278" customFormat="1" ht="21.9" customHeight="1" x14ac:dyDescent="0.3">
      <c r="B80" s="313" t="s">
        <v>553</v>
      </c>
      <c r="C80" s="288" t="s">
        <v>554</v>
      </c>
      <c r="D80" s="17" t="s">
        <v>555</v>
      </c>
      <c r="E80" s="1438"/>
    </row>
    <row r="81" spans="2:5" s="278" customFormat="1" ht="21.9" customHeight="1" thickBot="1" x14ac:dyDescent="0.35">
      <c r="B81" s="315" t="s">
        <v>556</v>
      </c>
      <c r="C81" s="286" t="s">
        <v>557</v>
      </c>
      <c r="D81" s="282" t="s">
        <v>558</v>
      </c>
      <c r="E81" s="1439"/>
    </row>
  </sheetData>
  <mergeCells count="1">
    <mergeCell ref="B2:E2"/>
  </mergeCells>
  <printOptions horizontalCentered="1" verticalCentered="1"/>
  <pageMargins left="0.51181102362204722" right="0.31496062992125984" top="0.74803149606299213" bottom="0.74803149606299213" header="0.31496062992125984" footer="0.31496062992125984"/>
  <pageSetup paperSize="9" scale="60" fitToHeight="0" orientation="portrait" r:id="rId1"/>
  <headerFooter>
    <oddHeader>&amp;CFR
ANNEXE I</oddHeader>
    <oddFooter>&amp;C&amp;P</oddFooter>
  </headerFooter>
  <rowBreaks count="1" manualBreakCount="1">
    <brk id="51" max="4" man="1"/>
  </rowBreaks>
  <ignoredErrors>
    <ignoredError sqref="C5:C8 C64:C81 B62:B81 B5:B58 C52:C5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J17"/>
  <sheetViews>
    <sheetView showGridLines="0" view="pageLayout" zoomScaleNormal="100" workbookViewId="0">
      <selection activeCell="C34" sqref="C34"/>
    </sheetView>
  </sheetViews>
  <sheetFormatPr defaultColWidth="11.44140625" defaultRowHeight="13.8" x14ac:dyDescent="0.25"/>
  <cols>
    <col min="1" max="1" width="1.6640625" style="1" customWidth="1"/>
    <col min="2" max="2" width="8.109375" style="1" customWidth="1"/>
    <col min="3" max="3" width="5" style="1" customWidth="1"/>
    <col min="4" max="4" width="66.109375" style="2" customWidth="1"/>
    <col min="5" max="5" width="26.33203125" style="5" customWidth="1"/>
    <col min="6" max="6" width="14.6640625" style="3" customWidth="1"/>
    <col min="7" max="7" width="56.109375" style="3" customWidth="1"/>
    <col min="8" max="16384" width="11.44140625" style="2"/>
  </cols>
  <sheetData>
    <row r="1" spans="1:10" ht="7.5" customHeight="1" thickBot="1" x14ac:dyDescent="0.25"/>
    <row r="2" spans="1:10" ht="42.75" customHeight="1" thickBot="1" x14ac:dyDescent="0.3">
      <c r="B2" s="1791" t="s">
        <v>559</v>
      </c>
      <c r="C2" s="1792"/>
      <c r="D2" s="1792"/>
      <c r="E2" s="1793"/>
      <c r="F2" s="15"/>
      <c r="G2" s="4"/>
    </row>
    <row r="3" spans="1:10" s="1443" customFormat="1" ht="11.25" customHeight="1" thickBot="1" x14ac:dyDescent="0.25">
      <c r="A3" s="1441"/>
      <c r="B3" s="1444"/>
      <c r="C3" s="1444"/>
      <c r="D3" s="1444"/>
      <c r="E3" s="1444"/>
      <c r="F3" s="1442"/>
      <c r="G3" s="1440"/>
    </row>
    <row r="4" spans="1:10" ht="17.25" customHeight="1" x14ac:dyDescent="0.2">
      <c r="B4" s="299" t="s">
        <v>560</v>
      </c>
      <c r="C4" s="1430" t="s">
        <v>561</v>
      </c>
      <c r="D4" s="1430" t="s">
        <v>562</v>
      </c>
      <c r="E4" s="1431" t="s">
        <v>563</v>
      </c>
      <c r="F4" s="15"/>
      <c r="G4" s="4"/>
    </row>
    <row r="5" spans="1:10" ht="24" customHeight="1" x14ac:dyDescent="0.2">
      <c r="B5" s="307" t="s">
        <v>564</v>
      </c>
      <c r="C5" s="1447">
        <v>1</v>
      </c>
      <c r="D5" s="7" t="s">
        <v>565</v>
      </c>
      <c r="E5" s="1452"/>
      <c r="F5" s="16"/>
      <c r="G5" s="4"/>
    </row>
    <row r="6" spans="1:10" ht="24" customHeight="1" x14ac:dyDescent="0.25">
      <c r="B6" s="307" t="s">
        <v>566</v>
      </c>
      <c r="C6" s="1447">
        <v>2</v>
      </c>
      <c r="D6" s="7" t="s">
        <v>567</v>
      </c>
      <c r="E6" s="1453"/>
      <c r="F6" s="1514"/>
      <c r="G6" s="4"/>
    </row>
    <row r="7" spans="1:10" ht="24" customHeight="1" x14ac:dyDescent="0.2">
      <c r="B7" s="307" t="s">
        <v>568</v>
      </c>
      <c r="C7" s="1447">
        <v>3</v>
      </c>
      <c r="D7" s="7" t="s">
        <v>569</v>
      </c>
      <c r="E7" s="1453"/>
      <c r="F7" s="16"/>
      <c r="G7" s="4"/>
    </row>
    <row r="8" spans="1:10" ht="24" customHeight="1" x14ac:dyDescent="0.25">
      <c r="B8" s="307" t="s">
        <v>570</v>
      </c>
      <c r="C8" s="1447">
        <v>4</v>
      </c>
      <c r="D8" s="7" t="s">
        <v>571</v>
      </c>
      <c r="E8" s="1453"/>
      <c r="F8" s="16"/>
      <c r="G8" s="4"/>
    </row>
    <row r="9" spans="1:10" ht="24" customHeight="1" x14ac:dyDescent="0.2">
      <c r="B9" s="307" t="s">
        <v>572</v>
      </c>
      <c r="C9" s="1447">
        <v>5</v>
      </c>
      <c r="D9" s="7" t="s">
        <v>573</v>
      </c>
      <c r="E9" s="1453"/>
      <c r="F9" s="16"/>
      <c r="G9" s="4"/>
    </row>
    <row r="10" spans="1:10" ht="24" customHeight="1" x14ac:dyDescent="0.25">
      <c r="B10" s="307" t="s">
        <v>574</v>
      </c>
      <c r="C10" s="1447">
        <v>6</v>
      </c>
      <c r="D10" s="7" t="s">
        <v>575</v>
      </c>
      <c r="E10" s="1454"/>
      <c r="F10" s="16"/>
    </row>
    <row r="11" spans="1:10" ht="28.5" customHeight="1" x14ac:dyDescent="0.3">
      <c r="A11" s="2"/>
      <c r="B11" s="1449" t="s">
        <v>576</v>
      </c>
      <c r="C11" s="1450"/>
      <c r="D11" s="1450"/>
      <c r="E11" s="1451"/>
      <c r="F11" s="2"/>
      <c r="G11" s="2"/>
    </row>
    <row r="12" spans="1:10" ht="30.75" customHeight="1" x14ac:dyDescent="0.2">
      <c r="B12" s="307" t="s">
        <v>577</v>
      </c>
      <c r="C12" s="1447">
        <v>7</v>
      </c>
      <c r="D12" s="7" t="s">
        <v>578</v>
      </c>
      <c r="E12" s="1452"/>
    </row>
    <row r="13" spans="1:10" ht="35.25" customHeight="1" x14ac:dyDescent="0.25">
      <c r="B13" s="307" t="s">
        <v>579</v>
      </c>
      <c r="C13" s="1447">
        <v>8</v>
      </c>
      <c r="D13" s="7" t="s">
        <v>580</v>
      </c>
      <c r="E13" s="1453"/>
    </row>
    <row r="14" spans="1:10" ht="32.25" customHeight="1" x14ac:dyDescent="0.2">
      <c r="B14" s="307" t="s">
        <v>581</v>
      </c>
      <c r="C14" s="1447">
        <v>9</v>
      </c>
      <c r="D14" s="7" t="s">
        <v>582</v>
      </c>
      <c r="E14" s="1453"/>
    </row>
    <row r="15" spans="1:10" ht="30.75" customHeight="1" x14ac:dyDescent="0.25">
      <c r="B15" s="307" t="s">
        <v>583</v>
      </c>
      <c r="C15" s="1447">
        <v>10</v>
      </c>
      <c r="D15" s="7" t="s">
        <v>584</v>
      </c>
      <c r="E15" s="1453"/>
    </row>
    <row r="16" spans="1:10" ht="38.25" customHeight="1" x14ac:dyDescent="0.2">
      <c r="B16" s="307" t="s">
        <v>585</v>
      </c>
      <c r="C16" s="1447">
        <v>11</v>
      </c>
      <c r="D16" s="7" t="s">
        <v>586</v>
      </c>
      <c r="E16" s="1453"/>
      <c r="J16" s="300"/>
    </row>
    <row r="17" spans="2:5" ht="34.5" customHeight="1" thickBot="1" x14ac:dyDescent="0.3">
      <c r="B17" s="1445" t="s">
        <v>587</v>
      </c>
      <c r="C17" s="1448">
        <v>12</v>
      </c>
      <c r="D17" s="1446" t="s">
        <v>588</v>
      </c>
      <c r="E17" s="1455"/>
    </row>
  </sheetData>
  <mergeCells count="1">
    <mergeCell ref="B2:E2"/>
  </mergeCells>
  <printOptions horizontalCentered="1" verticalCentered="1"/>
  <pageMargins left="0.70866141732283472" right="0.70866141732283472" top="0.74803149606299213" bottom="0.74803149606299213" header="0.31496062992125984" footer="0.31496062992125984"/>
  <pageSetup paperSize="9" scale="61" orientation="landscape" r:id="rId1"/>
  <headerFooter>
    <oddHeader>&amp;CFR
ANNEXE I</oddHeader>
    <oddFooter>&amp;C&amp;P</oddFooter>
  </headerFooter>
  <ignoredErrors>
    <ignoredError sqref="B5:B1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B1:J132"/>
  <sheetViews>
    <sheetView showGridLines="0" topLeftCell="A88" zoomScale="40" zoomScaleNormal="40" zoomScaleSheetLayoutView="70" workbookViewId="0">
      <selection activeCell="D131" sqref="D131"/>
    </sheetView>
  </sheetViews>
  <sheetFormatPr defaultColWidth="11.44140625" defaultRowHeight="13.8" x14ac:dyDescent="0.3"/>
  <cols>
    <col min="1" max="1" width="2.33203125" style="2" customWidth="1"/>
    <col min="2" max="2" width="7.33203125" style="6" customWidth="1"/>
    <col min="3" max="3" width="9.5546875" style="6" customWidth="1"/>
    <col min="4" max="4" width="150.44140625" style="2" customWidth="1"/>
    <col min="5" max="5" width="21.88671875" style="5" customWidth="1"/>
    <col min="6" max="16384" width="11.44140625" style="2"/>
  </cols>
  <sheetData>
    <row r="1" spans="2:5" ht="9.75" customHeight="1" thickBot="1" x14ac:dyDescent="0.25">
      <c r="B1" s="1"/>
      <c r="C1" s="1"/>
    </row>
    <row r="2" spans="2:5" ht="25.5" customHeight="1" thickBot="1" x14ac:dyDescent="0.35">
      <c r="B2" s="1794" t="s">
        <v>589</v>
      </c>
      <c r="C2" s="1795"/>
      <c r="D2" s="1795"/>
      <c r="E2" s="1796"/>
    </row>
    <row r="3" spans="2:5" s="1443" customFormat="1" ht="9.75" customHeight="1" thickBot="1" x14ac:dyDescent="0.3">
      <c r="B3" s="1456"/>
      <c r="C3" s="1456"/>
      <c r="D3" s="1456"/>
      <c r="E3" s="1456"/>
    </row>
    <row r="4" spans="2:5" ht="17.25" customHeight="1" x14ac:dyDescent="0.25">
      <c r="B4" s="299" t="s">
        <v>590</v>
      </c>
      <c r="C4" s="1430" t="s">
        <v>591</v>
      </c>
      <c r="D4" s="1430" t="s">
        <v>592</v>
      </c>
      <c r="E4" s="1431" t="s">
        <v>593</v>
      </c>
    </row>
    <row r="5" spans="2:5" ht="24" customHeight="1" x14ac:dyDescent="0.3">
      <c r="B5" s="1449" t="s">
        <v>594</v>
      </c>
      <c r="C5" s="1450"/>
      <c r="D5" s="1450"/>
      <c r="E5" s="1460" t="s">
        <v>595</v>
      </c>
    </row>
    <row r="6" spans="2:5" ht="24" customHeight="1" x14ac:dyDescent="0.3">
      <c r="B6" s="307" t="s">
        <v>596</v>
      </c>
      <c r="C6" s="290">
        <v>1</v>
      </c>
      <c r="D6" s="1457" t="s">
        <v>597</v>
      </c>
      <c r="E6" s="1461"/>
    </row>
    <row r="7" spans="2:5" ht="24" customHeight="1" x14ac:dyDescent="0.3">
      <c r="B7" s="307" t="s">
        <v>598</v>
      </c>
      <c r="C7" s="290" t="str">
        <f>C$6&amp;".1"</f>
        <v>1.1</v>
      </c>
      <c r="D7" s="8" t="s">
        <v>599</v>
      </c>
      <c r="E7" s="1462"/>
    </row>
    <row r="8" spans="2:5" ht="24" customHeight="1" x14ac:dyDescent="0.3">
      <c r="B8" s="307" t="s">
        <v>600</v>
      </c>
      <c r="C8" s="290" t="str">
        <f>C$6&amp;".2"</f>
        <v>1.2</v>
      </c>
      <c r="D8" s="8" t="s">
        <v>601</v>
      </c>
      <c r="E8" s="1462"/>
    </row>
    <row r="9" spans="2:5" ht="24" customHeight="1" x14ac:dyDescent="0.3">
      <c r="B9" s="307" t="s">
        <v>602</v>
      </c>
      <c r="C9" s="290" t="str">
        <f>C$6&amp;".3"</f>
        <v>1.3</v>
      </c>
      <c r="D9" s="8" t="s">
        <v>603</v>
      </c>
      <c r="E9" s="1462"/>
    </row>
    <row r="10" spans="2:5" ht="24" customHeight="1" x14ac:dyDescent="0.3">
      <c r="B10" s="307" t="s">
        <v>604</v>
      </c>
      <c r="C10" s="290">
        <v>2</v>
      </c>
      <c r="D10" s="7" t="s">
        <v>605</v>
      </c>
      <c r="E10" s="1462"/>
    </row>
    <row r="11" spans="2:5" ht="24" customHeight="1" x14ac:dyDescent="0.3">
      <c r="B11" s="307" t="s">
        <v>606</v>
      </c>
      <c r="C11" s="290" t="str">
        <f>C$10&amp;".1"</f>
        <v>2.1</v>
      </c>
      <c r="D11" s="8" t="s">
        <v>607</v>
      </c>
      <c r="E11" s="1462"/>
    </row>
    <row r="12" spans="2:5" ht="24" customHeight="1" x14ac:dyDescent="0.3">
      <c r="B12" s="307" t="s">
        <v>608</v>
      </c>
      <c r="C12" s="290" t="str">
        <f>C$10&amp;".2"</f>
        <v>2.2</v>
      </c>
      <c r="D12" s="8" t="s">
        <v>609</v>
      </c>
      <c r="E12" s="1462"/>
    </row>
    <row r="13" spans="2:5" ht="28.5" customHeight="1" x14ac:dyDescent="0.3">
      <c r="B13" s="307" t="s">
        <v>610</v>
      </c>
      <c r="C13" s="290" t="str">
        <f>C$12&amp;".1"</f>
        <v>2.2.1</v>
      </c>
      <c r="D13" s="281" t="s">
        <v>611</v>
      </c>
      <c r="E13" s="1462"/>
    </row>
    <row r="14" spans="2:5" x14ac:dyDescent="0.3">
      <c r="B14" s="307" t="s">
        <v>612</v>
      </c>
      <c r="C14" s="290" t="str">
        <f>C$12&amp;".2"</f>
        <v>2.2.2</v>
      </c>
      <c r="D14" s="9" t="s">
        <v>613</v>
      </c>
      <c r="E14" s="1463"/>
    </row>
    <row r="15" spans="2:5" ht="24" customHeight="1" x14ac:dyDescent="0.3">
      <c r="B15" s="307" t="s">
        <v>614</v>
      </c>
      <c r="C15" s="290" t="s">
        <v>615</v>
      </c>
      <c r="D15" s="1457" t="s">
        <v>616</v>
      </c>
      <c r="E15" s="1750"/>
    </row>
    <row r="16" spans="2:5" ht="24" customHeight="1" x14ac:dyDescent="0.3">
      <c r="B16" s="307" t="s">
        <v>617</v>
      </c>
      <c r="C16" s="290" t="s">
        <v>618</v>
      </c>
      <c r="D16" s="1457" t="s">
        <v>619</v>
      </c>
      <c r="E16" s="1750"/>
    </row>
    <row r="17" spans="2:10" ht="24" customHeight="1" x14ac:dyDescent="0.3">
      <c r="B17" s="307" t="s">
        <v>620</v>
      </c>
      <c r="C17" s="290" t="s">
        <v>621</v>
      </c>
      <c r="D17" s="1457" t="s">
        <v>622</v>
      </c>
      <c r="E17" s="1750"/>
    </row>
    <row r="18" spans="2:10" ht="24" customHeight="1" x14ac:dyDescent="0.3">
      <c r="B18" s="1449" t="s">
        <v>623</v>
      </c>
      <c r="C18" s="1450"/>
      <c r="D18" s="1450"/>
      <c r="E18" s="1451"/>
    </row>
    <row r="19" spans="2:10" ht="39.9" customHeight="1" x14ac:dyDescent="0.3">
      <c r="B19" s="307" t="s">
        <v>624</v>
      </c>
      <c r="C19" s="290">
        <v>3</v>
      </c>
      <c r="D19" s="12" t="s">
        <v>625</v>
      </c>
      <c r="E19" s="1464"/>
      <c r="J19" s="300"/>
    </row>
    <row r="20" spans="2:10" ht="39.9" customHeight="1" x14ac:dyDescent="0.3">
      <c r="B20" s="307" t="s">
        <v>626</v>
      </c>
      <c r="C20" s="290" t="str">
        <f>C$19&amp;".1"</f>
        <v>3.1</v>
      </c>
      <c r="D20" s="10" t="s">
        <v>627</v>
      </c>
      <c r="E20" s="1465"/>
    </row>
    <row r="21" spans="2:10" ht="24" customHeight="1" x14ac:dyDescent="0.3">
      <c r="B21" s="307" t="s">
        <v>628</v>
      </c>
      <c r="C21" s="290" t="str">
        <f>C$20&amp;".1"</f>
        <v>3.1.1</v>
      </c>
      <c r="D21" s="11" t="s">
        <v>629</v>
      </c>
      <c r="E21" s="1465"/>
    </row>
    <row r="22" spans="2:10" ht="24" customHeight="1" x14ac:dyDescent="0.3">
      <c r="B22" s="307" t="s">
        <v>630</v>
      </c>
      <c r="C22" s="290" t="str">
        <f>C$20&amp;".2"</f>
        <v>3.1.2</v>
      </c>
      <c r="D22" s="11" t="s">
        <v>631</v>
      </c>
      <c r="E22" s="1465"/>
    </row>
    <row r="23" spans="2:10" ht="24" customHeight="1" x14ac:dyDescent="0.3">
      <c r="B23" s="308" t="s">
        <v>632</v>
      </c>
      <c r="C23" s="290" t="str">
        <f>C$20&amp;".3"</f>
        <v>3.1.3</v>
      </c>
      <c r="D23" s="11" t="s">
        <v>633</v>
      </c>
      <c r="E23" s="1465"/>
    </row>
    <row r="24" spans="2:10" ht="24" customHeight="1" x14ac:dyDescent="0.3">
      <c r="B24" s="307" t="s">
        <v>634</v>
      </c>
      <c r="C24" s="290" t="str">
        <f>C$19&amp;".2"</f>
        <v>3.2</v>
      </c>
      <c r="D24" s="10" t="s">
        <v>635</v>
      </c>
      <c r="E24" s="1465"/>
    </row>
    <row r="25" spans="2:10" ht="30" customHeight="1" x14ac:dyDescent="0.3">
      <c r="B25" s="307" t="s">
        <v>636</v>
      </c>
      <c r="C25" s="303">
        <v>4</v>
      </c>
      <c r="D25" s="1458" t="s">
        <v>637</v>
      </c>
      <c r="E25" s="1466"/>
    </row>
    <row r="26" spans="2:10" ht="24" customHeight="1" x14ac:dyDescent="0.3">
      <c r="B26" s="307" t="s">
        <v>638</v>
      </c>
      <c r="C26" s="303" t="str">
        <f>C$25&amp;".1"</f>
        <v>4.1</v>
      </c>
      <c r="D26" s="298" t="s">
        <v>639</v>
      </c>
      <c r="E26" s="1466"/>
    </row>
    <row r="27" spans="2:10" ht="24" customHeight="1" x14ac:dyDescent="0.3">
      <c r="B27" s="307" t="s">
        <v>640</v>
      </c>
      <c r="C27" s="303" t="str">
        <f>C$25&amp;".2"</f>
        <v>4.2</v>
      </c>
      <c r="D27" s="298" t="s">
        <v>641</v>
      </c>
      <c r="E27" s="1466"/>
    </row>
    <row r="28" spans="2:10" ht="24" customHeight="1" x14ac:dyDescent="0.3">
      <c r="B28" s="307" t="s">
        <v>642</v>
      </c>
      <c r="C28" s="290">
        <v>5</v>
      </c>
      <c r="D28" s="18" t="s">
        <v>643</v>
      </c>
      <c r="E28" s="1465"/>
    </row>
    <row r="29" spans="2:10" ht="24" customHeight="1" x14ac:dyDescent="0.3">
      <c r="B29" s="307" t="s">
        <v>644</v>
      </c>
      <c r="C29" s="290">
        <v>6</v>
      </c>
      <c r="D29" s="12" t="s">
        <v>645</v>
      </c>
      <c r="E29" s="1465"/>
    </row>
    <row r="30" spans="2:10" ht="24" customHeight="1" x14ac:dyDescent="0.3">
      <c r="B30" s="307" t="s">
        <v>646</v>
      </c>
      <c r="C30" s="290">
        <v>7</v>
      </c>
      <c r="D30" s="18" t="s">
        <v>647</v>
      </c>
      <c r="E30" s="1467"/>
    </row>
    <row r="31" spans="2:10" ht="24" customHeight="1" x14ac:dyDescent="0.3">
      <c r="B31" s="1449" t="s">
        <v>648</v>
      </c>
      <c r="C31" s="1450"/>
      <c r="D31" s="1450"/>
      <c r="E31" s="1451"/>
    </row>
    <row r="32" spans="2:10" ht="32.25" customHeight="1" x14ac:dyDescent="0.3">
      <c r="B32" s="311">
        <v>190</v>
      </c>
      <c r="C32" s="304">
        <v>8</v>
      </c>
      <c r="D32" s="18" t="s">
        <v>649</v>
      </c>
      <c r="E32" s="1468"/>
    </row>
    <row r="33" spans="2:5" ht="24" customHeight="1" x14ac:dyDescent="0.3">
      <c r="B33" s="309">
        <v>200</v>
      </c>
      <c r="C33" s="290">
        <v>9</v>
      </c>
      <c r="D33" s="18" t="s">
        <v>650</v>
      </c>
      <c r="E33" s="1469"/>
    </row>
    <row r="34" spans="2:5" ht="24" customHeight="1" x14ac:dyDescent="0.3">
      <c r="B34" s="309">
        <v>210</v>
      </c>
      <c r="C34" s="290">
        <v>10</v>
      </c>
      <c r="D34" s="18" t="s">
        <v>651</v>
      </c>
      <c r="E34" s="1469"/>
    </row>
    <row r="35" spans="2:5" ht="24" customHeight="1" x14ac:dyDescent="0.3">
      <c r="B35" s="309">
        <v>225</v>
      </c>
      <c r="C35" s="290">
        <v>11.1</v>
      </c>
      <c r="D35" s="18" t="s">
        <v>652</v>
      </c>
      <c r="E35" s="1469"/>
    </row>
    <row r="36" spans="2:5" ht="24" customHeight="1" x14ac:dyDescent="0.3">
      <c r="B36" s="309">
        <v>226</v>
      </c>
      <c r="C36" s="290">
        <v>11.2</v>
      </c>
      <c r="D36" s="18" t="s">
        <v>653</v>
      </c>
      <c r="E36" s="1469"/>
    </row>
    <row r="37" spans="2:5" ht="24" customHeight="1" x14ac:dyDescent="0.3">
      <c r="B37" s="1449" t="s">
        <v>654</v>
      </c>
      <c r="C37" s="1450"/>
      <c r="D37" s="1450"/>
      <c r="E37" s="1451"/>
    </row>
    <row r="38" spans="2:5" ht="39.9" customHeight="1" x14ac:dyDescent="0.3">
      <c r="B38" s="309">
        <v>230</v>
      </c>
      <c r="C38" s="290">
        <v>12</v>
      </c>
      <c r="D38" s="18" t="s">
        <v>655</v>
      </c>
      <c r="E38" s="1468"/>
    </row>
    <row r="39" spans="2:5" ht="36" customHeight="1" x14ac:dyDescent="0.3">
      <c r="B39" s="309">
        <v>240</v>
      </c>
      <c r="C39" s="290" t="str">
        <f>C38&amp;".1"</f>
        <v>12.1</v>
      </c>
      <c r="D39" s="302" t="s">
        <v>656</v>
      </c>
      <c r="E39" s="1469"/>
    </row>
    <row r="40" spans="2:5" ht="30.75" customHeight="1" x14ac:dyDescent="0.3">
      <c r="B40" s="309">
        <v>250</v>
      </c>
      <c r="C40" s="290" t="str">
        <f>C39&amp;".1"</f>
        <v>12.1.1</v>
      </c>
      <c r="D40" s="301" t="s">
        <v>657</v>
      </c>
      <c r="E40" s="1469"/>
    </row>
    <row r="41" spans="2:5" ht="24" customHeight="1" x14ac:dyDescent="0.3">
      <c r="B41" s="309">
        <v>260</v>
      </c>
      <c r="C41" s="290" t="str">
        <f>C39&amp;".2"</f>
        <v>12.1.2</v>
      </c>
      <c r="D41" s="301" t="s">
        <v>658</v>
      </c>
      <c r="E41" s="1469"/>
    </row>
    <row r="42" spans="2:5" ht="27.75" customHeight="1" x14ac:dyDescent="0.3">
      <c r="B42" s="309">
        <v>270</v>
      </c>
      <c r="C42" s="290" t="str">
        <f>C38&amp;".2"</f>
        <v>12.2</v>
      </c>
      <c r="D42" s="302" t="s">
        <v>659</v>
      </c>
      <c r="E42" s="1469"/>
    </row>
    <row r="43" spans="2:5" ht="34.5" customHeight="1" x14ac:dyDescent="0.3">
      <c r="B43" s="309">
        <v>280</v>
      </c>
      <c r="C43" s="290" t="str">
        <f>C42&amp;".1"</f>
        <v>12.2.1</v>
      </c>
      <c r="D43" s="301" t="s">
        <v>660</v>
      </c>
      <c r="E43" s="1465"/>
    </row>
    <row r="44" spans="2:5" ht="24" customHeight="1" x14ac:dyDescent="0.3">
      <c r="B44" s="309">
        <v>290</v>
      </c>
      <c r="C44" s="290" t="str">
        <f>C42&amp;".2"</f>
        <v>12.2.2</v>
      </c>
      <c r="D44" s="301" t="s">
        <v>661</v>
      </c>
      <c r="E44" s="1465"/>
    </row>
    <row r="45" spans="2:5" ht="30.75" customHeight="1" x14ac:dyDescent="0.3">
      <c r="B45" s="310" t="s">
        <v>662</v>
      </c>
      <c r="C45" s="290" t="str">
        <f>C38&amp;".3"</f>
        <v>12.3</v>
      </c>
      <c r="D45" s="302" t="s">
        <v>663</v>
      </c>
      <c r="E45" s="1469"/>
    </row>
    <row r="46" spans="2:5" ht="33.75" customHeight="1" x14ac:dyDescent="0.3">
      <c r="B46" s="310" t="s">
        <v>664</v>
      </c>
      <c r="C46" s="290" t="str">
        <f>C45&amp;".1"</f>
        <v>12.3.1</v>
      </c>
      <c r="D46" s="301" t="s">
        <v>665</v>
      </c>
      <c r="E46" s="1465"/>
    </row>
    <row r="47" spans="2:5" ht="24" customHeight="1" x14ac:dyDescent="0.3">
      <c r="B47" s="310" t="s">
        <v>666</v>
      </c>
      <c r="C47" s="290" t="str">
        <f>C45&amp;".2"</f>
        <v>12.3.2</v>
      </c>
      <c r="D47" s="301" t="s">
        <v>667</v>
      </c>
      <c r="E47" s="1465"/>
    </row>
    <row r="48" spans="2:5" ht="39.9" customHeight="1" x14ac:dyDescent="0.3">
      <c r="B48" s="309">
        <v>300</v>
      </c>
      <c r="C48" s="290">
        <v>13</v>
      </c>
      <c r="D48" s="18" t="s">
        <v>668</v>
      </c>
      <c r="E48" s="1469"/>
    </row>
    <row r="49" spans="2:5" ht="24" customHeight="1" x14ac:dyDescent="0.3">
      <c r="B49" s="309">
        <v>310</v>
      </c>
      <c r="C49" s="290" t="str">
        <f>C48&amp;".1"</f>
        <v>13.1</v>
      </c>
      <c r="D49" s="302" t="s">
        <v>669</v>
      </c>
      <c r="E49" s="1469"/>
    </row>
    <row r="50" spans="2:5" ht="37.5" customHeight="1" x14ac:dyDescent="0.3">
      <c r="B50" s="309">
        <v>320</v>
      </c>
      <c r="C50" s="290" t="str">
        <f>C49&amp;".1"</f>
        <v>13.1.1</v>
      </c>
      <c r="D50" s="301" t="s">
        <v>670</v>
      </c>
      <c r="E50" s="1469"/>
    </row>
    <row r="51" spans="2:5" ht="24" customHeight="1" x14ac:dyDescent="0.3">
      <c r="B51" s="309">
        <v>330</v>
      </c>
      <c r="C51" s="290" t="str">
        <f>C49&amp;".2"</f>
        <v>13.1.2</v>
      </c>
      <c r="D51" s="301" t="s">
        <v>671</v>
      </c>
      <c r="E51" s="1469"/>
    </row>
    <row r="52" spans="2:5" ht="30" customHeight="1" x14ac:dyDescent="0.3">
      <c r="B52" s="309">
        <v>340</v>
      </c>
      <c r="C52" s="290" t="str">
        <f>C48&amp;".2"</f>
        <v>13.2</v>
      </c>
      <c r="D52" s="302" t="s">
        <v>672</v>
      </c>
      <c r="E52" s="1470"/>
    </row>
    <row r="53" spans="2:5" ht="28.5" customHeight="1" x14ac:dyDescent="0.3">
      <c r="B53" s="309">
        <v>350</v>
      </c>
      <c r="C53" s="290" t="str">
        <f>C52&amp;".1"</f>
        <v>13.2.1</v>
      </c>
      <c r="D53" s="301" t="s">
        <v>673</v>
      </c>
      <c r="E53" s="1467"/>
    </row>
    <row r="54" spans="2:5" ht="27.75" customHeight="1" x14ac:dyDescent="0.3">
      <c r="B54" s="309">
        <v>360</v>
      </c>
      <c r="C54" s="290" t="str">
        <f>C52&amp;".2"</f>
        <v>13.2.2</v>
      </c>
      <c r="D54" s="301" t="s">
        <v>674</v>
      </c>
      <c r="E54" s="1471"/>
    </row>
    <row r="55" spans="2:5" ht="31.5" customHeight="1" x14ac:dyDescent="0.3">
      <c r="B55" s="310" t="s">
        <v>675</v>
      </c>
      <c r="C55" s="290" t="str">
        <f>C48&amp;".3"</f>
        <v>13.3</v>
      </c>
      <c r="D55" s="302" t="s">
        <v>676</v>
      </c>
      <c r="E55" s="1469"/>
    </row>
    <row r="56" spans="2:5" ht="30" customHeight="1" x14ac:dyDescent="0.3">
      <c r="B56" s="310" t="s">
        <v>677</v>
      </c>
      <c r="C56" s="290" t="str">
        <f>C55&amp;".1"</f>
        <v>13.3.1</v>
      </c>
      <c r="D56" s="301" t="s">
        <v>678</v>
      </c>
      <c r="E56" s="1465"/>
    </row>
    <row r="57" spans="2:5" ht="24" customHeight="1" x14ac:dyDescent="0.3">
      <c r="B57" s="310" t="s">
        <v>679</v>
      </c>
      <c r="C57" s="290" t="str">
        <f>C55&amp;".2"</f>
        <v>13.3.2</v>
      </c>
      <c r="D57" s="301" t="s">
        <v>680</v>
      </c>
      <c r="E57" s="1465"/>
    </row>
    <row r="58" spans="2:5" ht="39.9" customHeight="1" x14ac:dyDescent="0.3">
      <c r="B58" s="309">
        <v>370</v>
      </c>
      <c r="C58" s="290">
        <v>14</v>
      </c>
      <c r="D58" s="18" t="s">
        <v>681</v>
      </c>
      <c r="E58" s="1469"/>
    </row>
    <row r="59" spans="2:5" ht="24" customHeight="1" x14ac:dyDescent="0.3">
      <c r="B59" s="309">
        <v>380</v>
      </c>
      <c r="C59" s="290" t="str">
        <f>C58&amp;".1"</f>
        <v>14.1</v>
      </c>
      <c r="D59" s="302" t="s">
        <v>682</v>
      </c>
      <c r="E59" s="1469"/>
    </row>
    <row r="60" spans="2:5" ht="30.75" customHeight="1" x14ac:dyDescent="0.3">
      <c r="B60" s="309">
        <v>390</v>
      </c>
      <c r="C60" s="290" t="str">
        <f>C59&amp;".1"</f>
        <v>14.1.1</v>
      </c>
      <c r="D60" s="301" t="s">
        <v>683</v>
      </c>
      <c r="E60" s="1469"/>
    </row>
    <row r="61" spans="2:5" ht="24" customHeight="1" x14ac:dyDescent="0.3">
      <c r="B61" s="309">
        <v>400</v>
      </c>
      <c r="C61" s="290" t="str">
        <f>C59&amp;".2"</f>
        <v>14.1.2</v>
      </c>
      <c r="D61" s="301" t="s">
        <v>684</v>
      </c>
      <c r="E61" s="1469"/>
    </row>
    <row r="62" spans="2:5" ht="24" customHeight="1" x14ac:dyDescent="0.3">
      <c r="B62" s="309">
        <v>410</v>
      </c>
      <c r="C62" s="290" t="str">
        <f>C58&amp;".2"</f>
        <v>14.2</v>
      </c>
      <c r="D62" s="302" t="s">
        <v>685</v>
      </c>
      <c r="E62" s="1469"/>
    </row>
    <row r="63" spans="2:5" ht="31.5" customHeight="1" x14ac:dyDescent="0.3">
      <c r="B63" s="309">
        <v>420</v>
      </c>
      <c r="C63" s="290" t="str">
        <f>C62&amp;".1"</f>
        <v>14.2.1</v>
      </c>
      <c r="D63" s="301" t="s">
        <v>686</v>
      </c>
      <c r="E63" s="1465"/>
    </row>
    <row r="64" spans="2:5" ht="24" customHeight="1" x14ac:dyDescent="0.3">
      <c r="B64" s="309">
        <v>430</v>
      </c>
      <c r="C64" s="290" t="str">
        <f>C62&amp;".2"</f>
        <v>14.2.2</v>
      </c>
      <c r="D64" s="301" t="s">
        <v>687</v>
      </c>
      <c r="E64" s="1465"/>
    </row>
    <row r="65" spans="2:5" ht="31.5" customHeight="1" x14ac:dyDescent="0.3">
      <c r="B65" s="310" t="s">
        <v>688</v>
      </c>
      <c r="C65" s="290" t="str">
        <f>C58&amp;".3"</f>
        <v>14.3</v>
      </c>
      <c r="D65" s="302" t="s">
        <v>689</v>
      </c>
      <c r="E65" s="1469"/>
    </row>
    <row r="66" spans="2:5" ht="31.5" customHeight="1" x14ac:dyDescent="0.3">
      <c r="B66" s="310" t="s">
        <v>690</v>
      </c>
      <c r="C66" s="290" t="str">
        <f>C65&amp;".1"</f>
        <v>14.3.1</v>
      </c>
      <c r="D66" s="301" t="s">
        <v>691</v>
      </c>
      <c r="E66" s="1465"/>
    </row>
    <row r="67" spans="2:5" ht="24" customHeight="1" x14ac:dyDescent="0.3">
      <c r="B67" s="310" t="s">
        <v>692</v>
      </c>
      <c r="C67" s="290" t="str">
        <f>C65&amp;".2"</f>
        <v>14.3.2</v>
      </c>
      <c r="D67" s="301" t="s">
        <v>693</v>
      </c>
      <c r="E67" s="1467"/>
    </row>
    <row r="68" spans="2:5" ht="24" customHeight="1" x14ac:dyDescent="0.3">
      <c r="B68" s="1449" t="s">
        <v>694</v>
      </c>
      <c r="C68" s="1450"/>
      <c r="D68" s="1450"/>
      <c r="E68" s="1451"/>
    </row>
    <row r="69" spans="2:5" ht="30.75" customHeight="1" x14ac:dyDescent="0.3">
      <c r="B69" s="311">
        <v>440</v>
      </c>
      <c r="C69" s="304">
        <v>15</v>
      </c>
      <c r="D69" s="18" t="s">
        <v>695</v>
      </c>
      <c r="E69" s="1468"/>
    </row>
    <row r="70" spans="2:5" ht="24" customHeight="1" x14ac:dyDescent="0.3">
      <c r="B70" s="311">
        <v>450</v>
      </c>
      <c r="C70" s="304" t="str">
        <f>C69&amp;".1"</f>
        <v>15.1</v>
      </c>
      <c r="D70" s="302" t="s">
        <v>696</v>
      </c>
      <c r="E70" s="1469"/>
    </row>
    <row r="71" spans="2:5" ht="24" customHeight="1" x14ac:dyDescent="0.3">
      <c r="B71" s="311">
        <v>460</v>
      </c>
      <c r="C71" s="304" t="str">
        <f>C70&amp;".1"</f>
        <v>15.1.1</v>
      </c>
      <c r="D71" s="301" t="s">
        <v>697</v>
      </c>
      <c r="E71" s="1469"/>
    </row>
    <row r="72" spans="2:5" ht="24" customHeight="1" x14ac:dyDescent="0.3">
      <c r="B72" s="311">
        <v>470</v>
      </c>
      <c r="C72" s="304" t="str">
        <f>C70&amp;".2"</f>
        <v>15.1.2</v>
      </c>
      <c r="D72" s="301" t="s">
        <v>698</v>
      </c>
      <c r="E72" s="1469"/>
    </row>
    <row r="73" spans="2:5" ht="24" customHeight="1" x14ac:dyDescent="0.3">
      <c r="B73" s="311">
        <v>480</v>
      </c>
      <c r="C73" s="304" t="str">
        <f>C69&amp;".2"</f>
        <v>15.2</v>
      </c>
      <c r="D73" s="302" t="s">
        <v>699</v>
      </c>
      <c r="E73" s="1469"/>
    </row>
    <row r="74" spans="2:5" ht="24" customHeight="1" x14ac:dyDescent="0.3">
      <c r="B74" s="311">
        <v>490</v>
      </c>
      <c r="C74" s="304" t="str">
        <f>C73&amp;".1"</f>
        <v>15.2.1</v>
      </c>
      <c r="D74" s="301" t="s">
        <v>700</v>
      </c>
      <c r="E74" s="1465"/>
    </row>
    <row r="75" spans="2:5" ht="24" customHeight="1" x14ac:dyDescent="0.3">
      <c r="B75" s="311">
        <v>500</v>
      </c>
      <c r="C75" s="304" t="str">
        <f>C73&amp;".2"</f>
        <v>15.2.2</v>
      </c>
      <c r="D75" s="301" t="s">
        <v>701</v>
      </c>
      <c r="E75" s="1465"/>
    </row>
    <row r="76" spans="2:5" ht="24" customHeight="1" x14ac:dyDescent="0.3">
      <c r="B76" s="312" t="s">
        <v>702</v>
      </c>
      <c r="C76" s="304" t="str">
        <f>C69&amp;".3"</f>
        <v>15.3</v>
      </c>
      <c r="D76" s="302" t="s">
        <v>703</v>
      </c>
      <c r="E76" s="1469"/>
    </row>
    <row r="77" spans="2:5" ht="24" customHeight="1" x14ac:dyDescent="0.3">
      <c r="B77" s="312" t="s">
        <v>704</v>
      </c>
      <c r="C77" s="304" t="str">
        <f>C76&amp;".1"</f>
        <v>15.3.1</v>
      </c>
      <c r="D77" s="301" t="s">
        <v>705</v>
      </c>
      <c r="E77" s="1465"/>
    </row>
    <row r="78" spans="2:5" ht="24" customHeight="1" x14ac:dyDescent="0.3">
      <c r="B78" s="312" t="s">
        <v>706</v>
      </c>
      <c r="C78" s="304" t="str">
        <f>C76&amp;".2"</f>
        <v>15.3.2</v>
      </c>
      <c r="D78" s="301" t="s">
        <v>707</v>
      </c>
      <c r="E78" s="1465"/>
    </row>
    <row r="79" spans="2:5" ht="28.5" customHeight="1" x14ac:dyDescent="0.3">
      <c r="B79" s="311">
        <v>510</v>
      </c>
      <c r="C79" s="304">
        <v>16</v>
      </c>
      <c r="D79" s="18" t="s">
        <v>708</v>
      </c>
      <c r="E79" s="1469"/>
    </row>
    <row r="80" spans="2:5" ht="24" customHeight="1" x14ac:dyDescent="0.3">
      <c r="B80" s="311">
        <v>520</v>
      </c>
      <c r="C80" s="304" t="str">
        <f>C79&amp;".1"</f>
        <v>16.1</v>
      </c>
      <c r="D80" s="302" t="s">
        <v>709</v>
      </c>
      <c r="E80" s="1469"/>
    </row>
    <row r="81" spans="2:5" ht="27.75" customHeight="1" x14ac:dyDescent="0.3">
      <c r="B81" s="311">
        <v>530</v>
      </c>
      <c r="C81" s="304" t="str">
        <f>C80&amp;".1"</f>
        <v>16.1.1</v>
      </c>
      <c r="D81" s="301" t="s">
        <v>710</v>
      </c>
      <c r="E81" s="1469"/>
    </row>
    <row r="82" spans="2:5" ht="24" customHeight="1" x14ac:dyDescent="0.3">
      <c r="B82" s="311">
        <v>540</v>
      </c>
      <c r="C82" s="304" t="str">
        <f>C80&amp;".2"</f>
        <v>16.1.2</v>
      </c>
      <c r="D82" s="301" t="s">
        <v>711</v>
      </c>
      <c r="E82" s="1469"/>
    </row>
    <row r="83" spans="2:5" ht="24" customHeight="1" x14ac:dyDescent="0.3">
      <c r="B83" s="311">
        <v>550</v>
      </c>
      <c r="C83" s="304" t="str">
        <f>C79&amp;".2"</f>
        <v>16.2</v>
      </c>
      <c r="D83" s="302" t="s">
        <v>712</v>
      </c>
      <c r="E83" s="1469"/>
    </row>
    <row r="84" spans="2:5" ht="24" customHeight="1" x14ac:dyDescent="0.3">
      <c r="B84" s="311">
        <v>560</v>
      </c>
      <c r="C84" s="304" t="str">
        <f>C83&amp;".1"</f>
        <v>16.2.1</v>
      </c>
      <c r="D84" s="301" t="s">
        <v>713</v>
      </c>
      <c r="E84" s="1465"/>
    </row>
    <row r="85" spans="2:5" ht="24" customHeight="1" x14ac:dyDescent="0.3">
      <c r="B85" s="311">
        <v>570</v>
      </c>
      <c r="C85" s="304" t="str">
        <f>C83&amp;".2"</f>
        <v>16.2.2</v>
      </c>
      <c r="D85" s="301" t="s">
        <v>714</v>
      </c>
      <c r="E85" s="1467"/>
    </row>
    <row r="86" spans="2:5" ht="24" customHeight="1" x14ac:dyDescent="0.3">
      <c r="B86" s="312" t="s">
        <v>715</v>
      </c>
      <c r="C86" s="304" t="str">
        <f>C79&amp;".3"</f>
        <v>16.3</v>
      </c>
      <c r="D86" s="302" t="s">
        <v>716</v>
      </c>
      <c r="E86" s="1468"/>
    </row>
    <row r="87" spans="2:5" ht="24" customHeight="1" x14ac:dyDescent="0.3">
      <c r="B87" s="312" t="s">
        <v>717</v>
      </c>
      <c r="C87" s="304" t="str">
        <f>C86&amp;".1"</f>
        <v>16.3.1</v>
      </c>
      <c r="D87" s="301" t="s">
        <v>718</v>
      </c>
      <c r="E87" s="1465"/>
    </row>
    <row r="88" spans="2:5" ht="24" customHeight="1" x14ac:dyDescent="0.3">
      <c r="B88" s="312" t="s">
        <v>719</v>
      </c>
      <c r="C88" s="304" t="str">
        <f>C86&amp;".2"</f>
        <v>16.3.2</v>
      </c>
      <c r="D88" s="301" t="s">
        <v>720</v>
      </c>
      <c r="E88" s="1465"/>
    </row>
    <row r="89" spans="2:5" ht="28.5" customHeight="1" x14ac:dyDescent="0.3">
      <c r="B89" s="309">
        <v>580</v>
      </c>
      <c r="C89" s="290">
        <v>17</v>
      </c>
      <c r="D89" s="18" t="s">
        <v>721</v>
      </c>
      <c r="E89" s="1469"/>
    </row>
    <row r="90" spans="2:5" ht="24" customHeight="1" x14ac:dyDescent="0.3">
      <c r="B90" s="309">
        <v>590</v>
      </c>
      <c r="C90" s="290" t="str">
        <f>C89&amp;".1"</f>
        <v>17.1</v>
      </c>
      <c r="D90" s="302" t="s">
        <v>722</v>
      </c>
      <c r="E90" s="1469"/>
    </row>
    <row r="91" spans="2:5" ht="24" customHeight="1" x14ac:dyDescent="0.3">
      <c r="B91" s="309">
        <v>600</v>
      </c>
      <c r="C91" s="290" t="str">
        <f>C90&amp;".1"</f>
        <v>17.1.1</v>
      </c>
      <c r="D91" s="301" t="s">
        <v>723</v>
      </c>
      <c r="E91" s="1469"/>
    </row>
    <row r="92" spans="2:5" ht="24" customHeight="1" x14ac:dyDescent="0.3">
      <c r="B92" s="309">
        <v>610</v>
      </c>
      <c r="C92" s="290" t="str">
        <f>C90&amp;".2"</f>
        <v>17.1.2</v>
      </c>
      <c r="D92" s="301" t="s">
        <v>724</v>
      </c>
      <c r="E92" s="1469"/>
    </row>
    <row r="93" spans="2:5" ht="24" customHeight="1" x14ac:dyDescent="0.3">
      <c r="B93" s="309">
        <v>620</v>
      </c>
      <c r="C93" s="290" t="str">
        <f>C89&amp;".2"</f>
        <v>17.2</v>
      </c>
      <c r="D93" s="302" t="s">
        <v>725</v>
      </c>
      <c r="E93" s="1469"/>
    </row>
    <row r="94" spans="2:5" ht="41.25" customHeight="1" x14ac:dyDescent="0.3">
      <c r="B94" s="309">
        <v>630</v>
      </c>
      <c r="C94" s="290" t="str">
        <f>C93&amp;".1"</f>
        <v>17.2.1</v>
      </c>
      <c r="D94" s="301" t="s">
        <v>726</v>
      </c>
      <c r="E94" s="1465"/>
    </row>
    <row r="95" spans="2:5" ht="24" customHeight="1" x14ac:dyDescent="0.3">
      <c r="B95" s="309">
        <v>640</v>
      </c>
      <c r="C95" s="290" t="str">
        <f>C93&amp;".2"</f>
        <v>17.2.2</v>
      </c>
      <c r="D95" s="301" t="s">
        <v>727</v>
      </c>
      <c r="E95" s="1465"/>
    </row>
    <row r="96" spans="2:5" ht="24" customHeight="1" x14ac:dyDescent="0.3">
      <c r="B96" s="310" t="s">
        <v>728</v>
      </c>
      <c r="C96" s="290" t="str">
        <f>C89&amp;".3"</f>
        <v>17.3</v>
      </c>
      <c r="D96" s="302" t="s">
        <v>729</v>
      </c>
      <c r="E96" s="1469"/>
    </row>
    <row r="97" spans="2:5" ht="24" customHeight="1" x14ac:dyDescent="0.3">
      <c r="B97" s="310" t="s">
        <v>730</v>
      </c>
      <c r="C97" s="290" t="str">
        <f>C96&amp;".1"</f>
        <v>17.3.1</v>
      </c>
      <c r="D97" s="301" t="s">
        <v>731</v>
      </c>
      <c r="E97" s="1465"/>
    </row>
    <row r="98" spans="2:5" ht="24" customHeight="1" x14ac:dyDescent="0.3">
      <c r="B98" s="310" t="s">
        <v>732</v>
      </c>
      <c r="C98" s="290" t="str">
        <f>C96&amp;".2"</f>
        <v>17.3.2</v>
      </c>
      <c r="D98" s="301" t="s">
        <v>733</v>
      </c>
      <c r="E98" s="1467"/>
    </row>
    <row r="99" spans="2:5" ht="24" customHeight="1" x14ac:dyDescent="0.3">
      <c r="B99" s="1449" t="s">
        <v>734</v>
      </c>
      <c r="C99" s="1450"/>
      <c r="D99" s="1450"/>
      <c r="E99" s="1451"/>
    </row>
    <row r="100" spans="2:5" ht="33.75" customHeight="1" x14ac:dyDescent="0.3">
      <c r="B100" s="311">
        <v>650</v>
      </c>
      <c r="C100" s="304">
        <v>18</v>
      </c>
      <c r="D100" s="18" t="s">
        <v>735</v>
      </c>
      <c r="E100" s="1471"/>
    </row>
    <row r="101" spans="2:5" ht="33.75" customHeight="1" x14ac:dyDescent="0.3">
      <c r="B101" s="311">
        <v>660</v>
      </c>
      <c r="C101" s="304">
        <v>19</v>
      </c>
      <c r="D101" s="18" t="s">
        <v>736</v>
      </c>
      <c r="E101" s="1465"/>
    </row>
    <row r="102" spans="2:5" ht="36" customHeight="1" x14ac:dyDescent="0.3">
      <c r="B102" s="311">
        <v>670</v>
      </c>
      <c r="C102" s="304">
        <v>20</v>
      </c>
      <c r="D102" s="18" t="s">
        <v>737</v>
      </c>
      <c r="E102" s="1467"/>
    </row>
    <row r="103" spans="2:5" ht="24" customHeight="1" x14ac:dyDescent="0.3">
      <c r="B103" s="1449" t="s">
        <v>738</v>
      </c>
      <c r="C103" s="1450"/>
      <c r="D103" s="1450"/>
      <c r="E103" s="1451"/>
    </row>
    <row r="104" spans="2:5" ht="39.9" customHeight="1" x14ac:dyDescent="0.3">
      <c r="B104" s="311">
        <v>680</v>
      </c>
      <c r="C104" s="304">
        <v>21</v>
      </c>
      <c r="D104" s="18" t="s">
        <v>739</v>
      </c>
      <c r="E104" s="1471"/>
    </row>
    <row r="105" spans="2:5" ht="39.9" customHeight="1" x14ac:dyDescent="0.3">
      <c r="B105" s="311">
        <v>690</v>
      </c>
      <c r="C105" s="304">
        <v>22</v>
      </c>
      <c r="D105" s="18" t="s">
        <v>740</v>
      </c>
      <c r="E105" s="1465"/>
    </row>
    <row r="106" spans="2:5" ht="39.9" customHeight="1" x14ac:dyDescent="0.3">
      <c r="B106" s="311">
        <v>700</v>
      </c>
      <c r="C106" s="304">
        <v>23</v>
      </c>
      <c r="D106" s="18" t="s">
        <v>741</v>
      </c>
      <c r="E106" s="1465"/>
    </row>
    <row r="107" spans="2:5" ht="39.9" customHeight="1" x14ac:dyDescent="0.3">
      <c r="B107" s="311">
        <v>710</v>
      </c>
      <c r="C107" s="304">
        <v>24</v>
      </c>
      <c r="D107" s="18" t="s">
        <v>742</v>
      </c>
      <c r="E107" s="1465"/>
    </row>
    <row r="108" spans="2:5" ht="39.9" customHeight="1" x14ac:dyDescent="0.3">
      <c r="B108" s="311">
        <v>720</v>
      </c>
      <c r="C108" s="304">
        <v>25</v>
      </c>
      <c r="D108" s="18" t="s">
        <v>743</v>
      </c>
      <c r="E108" s="1465"/>
    </row>
    <row r="109" spans="2:5" ht="39.9" customHeight="1" x14ac:dyDescent="0.3">
      <c r="B109" s="311">
        <v>730</v>
      </c>
      <c r="C109" s="304">
        <v>26</v>
      </c>
      <c r="D109" s="18" t="s">
        <v>744</v>
      </c>
      <c r="E109" s="1467"/>
    </row>
    <row r="110" spans="2:5" ht="24" customHeight="1" x14ac:dyDescent="0.25">
      <c r="B110" s="1449" t="s">
        <v>745</v>
      </c>
      <c r="C110" s="1450"/>
      <c r="D110" s="1450"/>
      <c r="E110" s="1451"/>
    </row>
    <row r="111" spans="2:5" ht="24" customHeight="1" x14ac:dyDescent="0.25">
      <c r="B111" s="309">
        <v>740</v>
      </c>
      <c r="C111" s="290">
        <v>27</v>
      </c>
      <c r="D111" s="18" t="s">
        <v>746</v>
      </c>
      <c r="E111" s="1472"/>
    </row>
    <row r="112" spans="2:5" ht="24" customHeight="1" x14ac:dyDescent="0.25">
      <c r="B112" s="310">
        <v>750</v>
      </c>
      <c r="C112" s="305"/>
      <c r="D112" s="18" t="s">
        <v>747</v>
      </c>
      <c r="E112" s="1473"/>
    </row>
    <row r="113" spans="2:5" ht="24" customHeight="1" x14ac:dyDescent="0.3">
      <c r="B113" s="310">
        <v>760</v>
      </c>
      <c r="C113" s="305"/>
      <c r="D113" s="18" t="s">
        <v>748</v>
      </c>
      <c r="E113" s="1473"/>
    </row>
    <row r="114" spans="2:5" ht="24" customHeight="1" x14ac:dyDescent="0.3">
      <c r="B114" s="310">
        <v>770</v>
      </c>
      <c r="C114" s="305"/>
      <c r="D114" s="18" t="s">
        <v>749</v>
      </c>
      <c r="E114" s="1473"/>
    </row>
    <row r="115" spans="2:5" ht="24" customHeight="1" x14ac:dyDescent="0.3">
      <c r="B115" s="310">
        <v>780</v>
      </c>
      <c r="C115" s="290"/>
      <c r="D115" s="18" t="s">
        <v>750</v>
      </c>
      <c r="E115" s="1473"/>
    </row>
    <row r="116" spans="2:5" ht="24" customHeight="1" x14ac:dyDescent="0.3">
      <c r="B116" s="310">
        <v>790</v>
      </c>
      <c r="C116" s="290"/>
      <c r="D116" s="18" t="s">
        <v>751</v>
      </c>
      <c r="E116" s="1473"/>
    </row>
    <row r="117" spans="2:5" ht="24" customHeight="1" x14ac:dyDescent="0.3">
      <c r="B117" s="310">
        <v>800</v>
      </c>
      <c r="C117" s="306"/>
      <c r="D117" s="1459" t="s">
        <v>752</v>
      </c>
      <c r="E117" s="1474"/>
    </row>
    <row r="118" spans="2:5" ht="24" customHeight="1" x14ac:dyDescent="0.3">
      <c r="B118" s="310">
        <v>810</v>
      </c>
      <c r="C118" s="306"/>
      <c r="D118" s="1459" t="s">
        <v>753</v>
      </c>
      <c r="E118" s="1475"/>
    </row>
    <row r="119" spans="2:5" ht="24" customHeight="1" x14ac:dyDescent="0.25">
      <c r="B119" s="1449" t="s">
        <v>754</v>
      </c>
      <c r="C119" s="1450"/>
      <c r="D119" s="1450"/>
      <c r="E119" s="1451"/>
    </row>
    <row r="120" spans="2:5" ht="24" customHeight="1" x14ac:dyDescent="0.3">
      <c r="B120" s="309">
        <v>820</v>
      </c>
      <c r="C120" s="290">
        <v>28</v>
      </c>
      <c r="D120" s="18" t="s">
        <v>755</v>
      </c>
      <c r="E120" s="1476"/>
    </row>
    <row r="121" spans="2:5" ht="24" customHeight="1" x14ac:dyDescent="0.3">
      <c r="B121" s="1449" t="s">
        <v>756</v>
      </c>
      <c r="C121" s="1450"/>
      <c r="D121" s="1450"/>
      <c r="E121" s="1451"/>
    </row>
    <row r="122" spans="2:5" ht="24" customHeight="1" x14ac:dyDescent="0.25">
      <c r="B122" s="309">
        <v>830</v>
      </c>
      <c r="C122" s="290">
        <v>29</v>
      </c>
      <c r="D122" s="18" t="s">
        <v>757</v>
      </c>
      <c r="E122" s="1472"/>
    </row>
    <row r="123" spans="2:5" ht="24" customHeight="1" x14ac:dyDescent="0.3">
      <c r="B123" s="310">
        <v>840</v>
      </c>
      <c r="C123" s="290">
        <v>30</v>
      </c>
      <c r="D123" s="18" t="s">
        <v>758</v>
      </c>
      <c r="E123" s="1477"/>
    </row>
    <row r="124" spans="2:5" ht="24" customHeight="1" x14ac:dyDescent="0.3">
      <c r="B124" s="1449" t="s">
        <v>759</v>
      </c>
      <c r="C124" s="1450"/>
      <c r="D124" s="1450"/>
      <c r="E124" s="1451"/>
    </row>
    <row r="125" spans="2:5" ht="24" customHeight="1" x14ac:dyDescent="0.25">
      <c r="B125" s="309">
        <v>850</v>
      </c>
      <c r="C125" s="303">
        <v>31</v>
      </c>
      <c r="D125" s="1459" t="s">
        <v>760</v>
      </c>
      <c r="E125" s="1472"/>
    </row>
    <row r="126" spans="2:5" ht="24" customHeight="1" x14ac:dyDescent="0.25">
      <c r="B126" s="309">
        <v>860</v>
      </c>
      <c r="C126" s="303">
        <v>32</v>
      </c>
      <c r="D126" s="1459" t="s">
        <v>761</v>
      </c>
      <c r="E126" s="1472"/>
    </row>
    <row r="127" spans="2:5" ht="26.25" customHeight="1" x14ac:dyDescent="0.3">
      <c r="B127" s="1449" t="s">
        <v>762</v>
      </c>
      <c r="C127" s="1450"/>
      <c r="D127" s="1450"/>
      <c r="E127" s="1451"/>
    </row>
    <row r="128" spans="2:5" ht="26.25" customHeight="1" x14ac:dyDescent="0.25">
      <c r="B128" s="309">
        <v>870</v>
      </c>
      <c r="C128" s="303"/>
      <c r="D128" s="1459" t="s">
        <v>763</v>
      </c>
      <c r="E128" s="1584"/>
    </row>
    <row r="129" spans="2:5" ht="26.25" customHeight="1" x14ac:dyDescent="0.3">
      <c r="B129" s="309">
        <v>880</v>
      </c>
      <c r="C129" s="303"/>
      <c r="D129" s="1459" t="s">
        <v>764</v>
      </c>
      <c r="E129" s="1584"/>
    </row>
    <row r="130" spans="2:5" ht="26.25" customHeight="1" x14ac:dyDescent="0.3">
      <c r="B130" s="309">
        <v>890</v>
      </c>
      <c r="C130" s="303"/>
      <c r="D130" s="1459" t="s">
        <v>765</v>
      </c>
      <c r="E130" s="1584"/>
    </row>
    <row r="131" spans="2:5" ht="26.25" customHeight="1" x14ac:dyDescent="0.3">
      <c r="B131" s="309">
        <v>900</v>
      </c>
      <c r="C131" s="303"/>
      <c r="D131" s="1459" t="s">
        <v>766</v>
      </c>
      <c r="E131" s="1656"/>
    </row>
    <row r="132" spans="2:5" ht="26.25" customHeight="1" thickBot="1" x14ac:dyDescent="0.35">
      <c r="B132" s="1670">
        <v>910</v>
      </c>
      <c r="C132" s="1679"/>
      <c r="D132" s="1680" t="s">
        <v>767</v>
      </c>
      <c r="E132" s="1681"/>
    </row>
  </sheetData>
  <mergeCells count="1">
    <mergeCell ref="B2:E2"/>
  </mergeCells>
  <conditionalFormatting sqref="E43:E44 E46:E47 E53:E57 E63:E67 E74:E78 E84:E88 E100:E102 E94:E98 E104:E109 E20:E30 E111:E118">
    <cfRule type="cellIs" dxfId="4" priority="14" stopIfTrue="1" operator="lessThan">
      <formula>0</formula>
    </cfRule>
  </conditionalFormatting>
  <conditionalFormatting sqref="E120">
    <cfRule type="cellIs" dxfId="3" priority="2" stopIfTrue="1" operator="lessThan">
      <formula>0</formula>
    </cfRule>
  </conditionalFormatting>
  <pageMargins left="0.70866141732283472" right="0.70866141732283472" top="0.74803149606299213" bottom="0.74803149606299213" header="0.31496062992125984" footer="0.31496062992125984"/>
  <pageSetup paperSize="9" scale="43" fitToHeight="2" pageOrder="overThenDown" orientation="portrait" r:id="rId1"/>
  <headerFooter>
    <oddHeader>&amp;CFR
ANNEXE I</oddHeader>
    <oddFooter>&amp;C&amp;P</oddFooter>
  </headerFooter>
  <rowBreaks count="1" manualBreakCount="1">
    <brk id="67" min="1" max="5" man="1"/>
  </rowBreaks>
  <ignoredErrors>
    <ignoredError sqref="E5 B37:B67 B18:B34 B6:B14 B69:B12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T65"/>
  <sheetViews>
    <sheetView showGridLines="0" zoomScale="10" zoomScaleNormal="10" zoomScalePageLayoutView="80" workbookViewId="0">
      <selection activeCell="H64" sqref="H64"/>
    </sheetView>
  </sheetViews>
  <sheetFormatPr defaultColWidth="11.44140625" defaultRowHeight="13.8" x14ac:dyDescent="0.25"/>
  <cols>
    <col min="1" max="1" width="1.6640625" style="31" customWidth="1"/>
    <col min="2" max="2" width="8.6640625" style="31" customWidth="1"/>
    <col min="3" max="3" width="11.88671875" style="31" customWidth="1"/>
    <col min="4" max="4" width="77.44140625" style="33" customWidth="1"/>
    <col min="5" max="5" width="26.5546875" style="33" customWidth="1"/>
    <col min="6" max="6" width="32.6640625" style="33" customWidth="1"/>
    <col min="7" max="7" width="32.6640625" style="34" customWidth="1"/>
    <col min="8" max="8" width="32.6640625" style="33" customWidth="1"/>
    <col min="9" max="9" width="23.5546875" style="33" customWidth="1"/>
    <col min="10" max="10" width="30.33203125" style="33" customWidth="1"/>
    <col min="11" max="11" width="44.109375" style="33" customWidth="1"/>
    <col min="12" max="12" width="76.88671875" style="33" customWidth="1"/>
    <col min="13" max="13" width="27.6640625" style="33" customWidth="1"/>
    <col min="14" max="14" width="37" style="33" customWidth="1"/>
    <col min="15" max="15" width="17.33203125" style="33" customWidth="1"/>
    <col min="16" max="16" width="14.6640625" style="33" customWidth="1"/>
    <col min="17" max="17" width="53.88671875" style="33" customWidth="1"/>
    <col min="18" max="18" width="15.88671875" style="33" customWidth="1"/>
    <col min="19" max="19" width="16.109375" style="33" customWidth="1"/>
    <col min="20" max="20" width="15" style="33" customWidth="1"/>
    <col min="21" max="21" width="13.44140625" style="33" customWidth="1"/>
    <col min="22" max="16384" width="11.44140625" style="33"/>
  </cols>
  <sheetData>
    <row r="1" spans="1:20" ht="8.25" customHeight="1" thickBot="1" x14ac:dyDescent="0.25">
      <c r="F1" s="34"/>
      <c r="G1" s="33"/>
      <c r="K1" s="35"/>
    </row>
    <row r="2" spans="1:20" ht="26.25" customHeight="1" thickBot="1" x14ac:dyDescent="0.25">
      <c r="A2" s="31" t="s">
        <v>768</v>
      </c>
      <c r="B2" s="1797" t="s">
        <v>769</v>
      </c>
      <c r="C2" s="1798"/>
      <c r="D2" s="1798"/>
      <c r="E2" s="1798"/>
      <c r="F2" s="1798"/>
      <c r="G2" s="1798"/>
      <c r="H2" s="1798"/>
      <c r="I2" s="1798"/>
      <c r="J2" s="1799"/>
    </row>
    <row r="3" spans="1:20" s="1481" customFormat="1" ht="7.5" customHeight="1" thickBot="1" x14ac:dyDescent="0.25">
      <c r="A3" s="1480"/>
      <c r="B3" s="1428"/>
      <c r="C3" s="1428"/>
      <c r="D3" s="1428"/>
      <c r="E3" s="1428"/>
      <c r="F3" s="1428"/>
      <c r="G3" s="1428"/>
      <c r="H3" s="1428"/>
      <c r="I3" s="1428"/>
      <c r="J3" s="1428"/>
    </row>
    <row r="4" spans="1:20" ht="34.5" customHeight="1" x14ac:dyDescent="0.25">
      <c r="B4" s="1800"/>
      <c r="C4" s="1801"/>
      <c r="D4" s="1801"/>
      <c r="E4" s="1804" t="s">
        <v>770</v>
      </c>
      <c r="F4" s="1804" t="s">
        <v>771</v>
      </c>
      <c r="G4" s="1804" t="s">
        <v>772</v>
      </c>
      <c r="H4" s="1804" t="s">
        <v>773</v>
      </c>
      <c r="I4" s="1804" t="s">
        <v>774</v>
      </c>
      <c r="J4" s="1806"/>
      <c r="K4" s="1515"/>
      <c r="L4" s="21"/>
      <c r="M4" s="21"/>
      <c r="N4" s="21"/>
      <c r="O4" s="21"/>
      <c r="P4" s="21"/>
      <c r="Q4" s="21"/>
      <c r="R4" s="21"/>
      <c r="S4" s="21"/>
      <c r="T4" s="21"/>
    </row>
    <row r="5" spans="1:20" ht="34.5" customHeight="1" x14ac:dyDescent="0.25">
      <c r="B5" s="1802"/>
      <c r="C5" s="1803"/>
      <c r="D5" s="1803"/>
      <c r="E5" s="1805"/>
      <c r="F5" s="1805"/>
      <c r="G5" s="1805"/>
      <c r="H5" s="1805"/>
      <c r="I5" s="1700" t="s">
        <v>775</v>
      </c>
      <c r="J5" s="1511" t="s">
        <v>776</v>
      </c>
      <c r="K5" s="1515"/>
      <c r="L5" s="21"/>
      <c r="M5" s="21"/>
      <c r="N5" s="21"/>
      <c r="O5" s="21"/>
      <c r="P5" s="21"/>
      <c r="Q5" s="21"/>
      <c r="R5" s="21"/>
      <c r="S5" s="21"/>
      <c r="T5" s="21"/>
    </row>
    <row r="6" spans="1:20" ht="24" customHeight="1" x14ac:dyDescent="0.2">
      <c r="B6" s="1482" t="s">
        <v>777</v>
      </c>
      <c r="C6" s="1478" t="s">
        <v>778</v>
      </c>
      <c r="D6" s="1478" t="s">
        <v>779</v>
      </c>
      <c r="E6" s="1479" t="s">
        <v>780</v>
      </c>
      <c r="F6" s="1479" t="s">
        <v>781</v>
      </c>
      <c r="G6" s="1479" t="s">
        <v>782</v>
      </c>
      <c r="H6" s="1479" t="s">
        <v>783</v>
      </c>
      <c r="I6" s="1479" t="s">
        <v>784</v>
      </c>
      <c r="J6" s="1512" t="s">
        <v>785</v>
      </c>
      <c r="K6" s="1515"/>
      <c r="L6" s="21"/>
      <c r="M6" s="21"/>
      <c r="N6" s="21"/>
      <c r="O6" s="21"/>
      <c r="P6" s="21"/>
      <c r="Q6" s="21"/>
      <c r="R6" s="21"/>
      <c r="S6" s="21"/>
      <c r="T6" s="21"/>
    </row>
    <row r="7" spans="1:20" ht="39.9" customHeight="1" x14ac:dyDescent="0.2">
      <c r="B7" s="325" t="s">
        <v>786</v>
      </c>
      <c r="C7" s="1727" t="s">
        <v>787</v>
      </c>
      <c r="D7" s="1739" t="s">
        <v>788</v>
      </c>
      <c r="E7" s="1496"/>
      <c r="F7" s="1497"/>
      <c r="G7" s="1497"/>
      <c r="H7" s="1497"/>
      <c r="I7" s="1498"/>
      <c r="J7" s="1499"/>
      <c r="K7" s="25"/>
      <c r="L7" s="21"/>
      <c r="M7" s="21"/>
      <c r="N7" s="21"/>
      <c r="O7" s="21"/>
      <c r="P7" s="21"/>
      <c r="Q7" s="21"/>
      <c r="R7" s="21"/>
      <c r="S7" s="21"/>
      <c r="T7" s="21"/>
    </row>
    <row r="8" spans="1:20" ht="39.9" customHeight="1" x14ac:dyDescent="0.25">
      <c r="B8" s="319" t="s">
        <v>789</v>
      </c>
      <c r="C8" s="1734" t="s">
        <v>790</v>
      </c>
      <c r="D8" s="1740" t="s">
        <v>791</v>
      </c>
      <c r="E8" s="1500" t="s">
        <v>792</v>
      </c>
      <c r="F8" s="1501" t="s">
        <v>793</v>
      </c>
      <c r="G8" s="1501" t="s">
        <v>794</v>
      </c>
      <c r="H8" s="1502"/>
      <c r="I8" s="1502"/>
      <c r="J8" s="1506"/>
      <c r="K8" s="36"/>
      <c r="L8" s="21"/>
      <c r="M8" s="21"/>
      <c r="N8" s="21"/>
      <c r="O8" s="21"/>
      <c r="P8" s="21"/>
      <c r="Q8" s="21"/>
      <c r="R8" s="21"/>
      <c r="S8" s="21"/>
      <c r="T8" s="21"/>
    </row>
    <row r="9" spans="1:20" ht="39.9" customHeight="1" x14ac:dyDescent="0.25">
      <c r="B9" s="319" t="s">
        <v>795</v>
      </c>
      <c r="C9" s="1734" t="s">
        <v>796</v>
      </c>
      <c r="D9" s="1741" t="s">
        <v>797</v>
      </c>
      <c r="E9" s="1504"/>
      <c r="F9" s="1505"/>
      <c r="G9" s="1505"/>
      <c r="H9" s="1502"/>
      <c r="I9" s="1502"/>
      <c r="J9" s="1506"/>
      <c r="K9" s="1515"/>
      <c r="L9" s="21"/>
      <c r="M9" s="21"/>
      <c r="N9" s="21"/>
      <c r="O9" s="21"/>
      <c r="P9" s="21"/>
      <c r="Q9" s="21"/>
      <c r="R9" s="21"/>
      <c r="S9" s="21"/>
      <c r="T9" s="21"/>
    </row>
    <row r="10" spans="1:20" ht="39.9" customHeight="1" x14ac:dyDescent="0.25">
      <c r="B10" s="319" t="s">
        <v>798</v>
      </c>
      <c r="C10" s="1734" t="s">
        <v>799</v>
      </c>
      <c r="D10" s="1735" t="s">
        <v>800</v>
      </c>
      <c r="E10" s="1500"/>
      <c r="F10" s="1501"/>
      <c r="G10" s="1501"/>
      <c r="H10" s="1502"/>
      <c r="I10" s="1502"/>
      <c r="J10" s="1506"/>
      <c r="K10" s="1515"/>
      <c r="L10" s="21"/>
      <c r="M10" s="21"/>
      <c r="N10" s="21"/>
      <c r="O10" s="21"/>
      <c r="P10" s="21"/>
      <c r="Q10" s="21"/>
      <c r="R10" s="21"/>
      <c r="S10" s="21"/>
      <c r="T10" s="21"/>
    </row>
    <row r="11" spans="1:20" ht="45" customHeight="1" x14ac:dyDescent="0.25">
      <c r="B11" s="319" t="s">
        <v>801</v>
      </c>
      <c r="C11" s="1734" t="s">
        <v>802</v>
      </c>
      <c r="D11" s="1735" t="s">
        <v>803</v>
      </c>
      <c r="E11" s="1500"/>
      <c r="F11" s="1501"/>
      <c r="G11" s="1501"/>
      <c r="H11" s="1502"/>
      <c r="I11" s="1502"/>
      <c r="J11" s="1506"/>
      <c r="K11" s="1515"/>
      <c r="L11" s="21"/>
      <c r="M11" s="21"/>
      <c r="N11" s="21"/>
      <c r="O11" s="21"/>
      <c r="P11" s="21"/>
      <c r="Q11" s="21"/>
      <c r="R11" s="21"/>
      <c r="S11" s="21"/>
      <c r="T11" s="21"/>
    </row>
    <row r="12" spans="1:20" ht="39.9" customHeight="1" x14ac:dyDescent="0.25">
      <c r="B12" s="319" t="s">
        <v>804</v>
      </c>
      <c r="C12" s="1734" t="s">
        <v>805</v>
      </c>
      <c r="D12" s="1741" t="s">
        <v>806</v>
      </c>
      <c r="E12" s="1500" t="s">
        <v>807</v>
      </c>
      <c r="F12" s="1501" t="s">
        <v>808</v>
      </c>
      <c r="G12" s="1501" t="s">
        <v>809</v>
      </c>
      <c r="H12" s="1502"/>
      <c r="I12" s="1502"/>
      <c r="J12" s="1506"/>
      <c r="K12" s="25"/>
      <c r="L12" s="21"/>
      <c r="M12" s="21"/>
      <c r="N12" s="21"/>
      <c r="O12" s="21"/>
      <c r="P12" s="21"/>
      <c r="Q12" s="21"/>
      <c r="R12" s="21"/>
      <c r="S12" s="21"/>
      <c r="T12" s="21"/>
    </row>
    <row r="13" spans="1:20" ht="39.9" customHeight="1" x14ac:dyDescent="0.25">
      <c r="B13" s="319" t="s">
        <v>810</v>
      </c>
      <c r="C13" s="1734" t="s">
        <v>811</v>
      </c>
      <c r="D13" s="1740" t="s">
        <v>812</v>
      </c>
      <c r="E13" s="1500" t="s">
        <v>813</v>
      </c>
      <c r="F13" s="1501" t="s">
        <v>814</v>
      </c>
      <c r="G13" s="1501" t="s">
        <v>815</v>
      </c>
      <c r="H13" s="1502"/>
      <c r="I13" s="1502"/>
      <c r="J13" s="1506"/>
      <c r="K13" s="36"/>
      <c r="L13" s="21"/>
      <c r="M13" s="21"/>
      <c r="N13" s="21"/>
      <c r="O13" s="21"/>
      <c r="P13" s="21"/>
      <c r="Q13" s="21"/>
      <c r="R13" s="21"/>
      <c r="S13" s="21"/>
      <c r="T13" s="21"/>
    </row>
    <row r="14" spans="1:20" ht="39.9" customHeight="1" x14ac:dyDescent="0.25">
      <c r="B14" s="319" t="s">
        <v>816</v>
      </c>
      <c r="C14" s="1734" t="s">
        <v>817</v>
      </c>
      <c r="D14" s="1741" t="s">
        <v>818</v>
      </c>
      <c r="E14" s="1500"/>
      <c r="F14" s="1502"/>
      <c r="G14" s="1502"/>
      <c r="H14" s="1502"/>
      <c r="I14" s="1501"/>
      <c r="J14" s="1503"/>
      <c r="K14" s="1516"/>
      <c r="L14" s="21"/>
      <c r="M14" s="21"/>
      <c r="N14" s="21"/>
      <c r="O14" s="21"/>
      <c r="P14" s="21"/>
      <c r="Q14" s="21"/>
      <c r="R14" s="21"/>
      <c r="S14" s="21"/>
      <c r="T14" s="21"/>
    </row>
    <row r="15" spans="1:20" ht="39.9" customHeight="1" x14ac:dyDescent="0.25">
      <c r="B15" s="319" t="s">
        <v>819</v>
      </c>
      <c r="C15" s="1734" t="s">
        <v>820</v>
      </c>
      <c r="D15" s="1741" t="s">
        <v>821</v>
      </c>
      <c r="E15" s="1500"/>
      <c r="F15" s="1502"/>
      <c r="G15" s="1502"/>
      <c r="H15" s="1502"/>
      <c r="I15" s="1501"/>
      <c r="J15" s="1503"/>
      <c r="K15" s="1515"/>
      <c r="L15" s="21"/>
      <c r="M15" s="21"/>
      <c r="N15" s="21"/>
      <c r="O15" s="21"/>
      <c r="P15" s="21"/>
      <c r="Q15" s="21"/>
      <c r="R15" s="21"/>
      <c r="S15" s="21"/>
      <c r="T15" s="21"/>
    </row>
    <row r="16" spans="1:20" ht="39.9" customHeight="1" x14ac:dyDescent="0.25">
      <c r="B16" s="326" t="s">
        <v>822</v>
      </c>
      <c r="C16" s="1742" t="s">
        <v>823</v>
      </c>
      <c r="D16" s="1743" t="s">
        <v>824</v>
      </c>
      <c r="E16" s="1507"/>
      <c r="F16" s="1501"/>
      <c r="G16" s="1502"/>
      <c r="H16" s="1502"/>
      <c r="I16" s="1501"/>
      <c r="J16" s="1503"/>
      <c r="K16" s="1515"/>
      <c r="L16" s="21"/>
      <c r="M16" s="21"/>
      <c r="N16" s="21"/>
      <c r="O16" s="21"/>
      <c r="P16" s="21"/>
      <c r="Q16" s="21"/>
      <c r="R16" s="21"/>
      <c r="S16" s="21"/>
      <c r="T16" s="21"/>
    </row>
    <row r="17" spans="2:20" ht="39.9" customHeight="1" x14ac:dyDescent="0.25">
      <c r="B17" s="326" t="s">
        <v>825</v>
      </c>
      <c r="C17" s="1742" t="s">
        <v>826</v>
      </c>
      <c r="D17" s="1743" t="s">
        <v>827</v>
      </c>
      <c r="E17" s="1507"/>
      <c r="F17" s="1502"/>
      <c r="G17" s="1501"/>
      <c r="H17" s="1502"/>
      <c r="I17" s="1501"/>
      <c r="J17" s="1503"/>
      <c r="K17" s="1515"/>
      <c r="L17" s="21"/>
      <c r="M17" s="21"/>
      <c r="N17" s="21"/>
      <c r="O17" s="21"/>
      <c r="P17" s="21"/>
      <c r="Q17" s="21"/>
      <c r="R17" s="21"/>
      <c r="S17" s="21"/>
      <c r="T17" s="21"/>
    </row>
    <row r="18" spans="2:20" ht="39.9" customHeight="1" x14ac:dyDescent="0.2">
      <c r="B18" s="319" t="s">
        <v>828</v>
      </c>
      <c r="C18" s="1734" t="s">
        <v>829</v>
      </c>
      <c r="D18" s="1740" t="s">
        <v>830</v>
      </c>
      <c r="E18" s="1500" t="s">
        <v>831</v>
      </c>
      <c r="F18" s="1501" t="s">
        <v>832</v>
      </c>
      <c r="G18" s="1501" t="s">
        <v>833</v>
      </c>
      <c r="H18" s="1508"/>
      <c r="I18" s="1502"/>
      <c r="J18" s="1506"/>
      <c r="K18" s="25"/>
      <c r="L18" s="21"/>
      <c r="M18" s="21"/>
      <c r="N18" s="21"/>
      <c r="O18" s="21"/>
      <c r="P18" s="21"/>
      <c r="Q18" s="21"/>
      <c r="R18" s="21"/>
      <c r="S18" s="21"/>
      <c r="T18" s="21"/>
    </row>
    <row r="19" spans="2:20" ht="39.9" customHeight="1" x14ac:dyDescent="0.25">
      <c r="B19" s="319" t="s">
        <v>834</v>
      </c>
      <c r="C19" s="1734" t="s">
        <v>835</v>
      </c>
      <c r="D19" s="1741" t="s">
        <v>836</v>
      </c>
      <c r="E19" s="1500"/>
      <c r="F19" s="1502"/>
      <c r="G19" s="1502"/>
      <c r="H19" s="1502"/>
      <c r="I19" s="1502"/>
      <c r="J19" s="1506"/>
      <c r="K19" s="21"/>
      <c r="L19" s="21"/>
      <c r="M19" s="21"/>
      <c r="N19" s="21"/>
      <c r="O19" s="21"/>
      <c r="P19" s="21"/>
      <c r="Q19" s="21"/>
      <c r="R19" s="21"/>
      <c r="S19" s="21"/>
    </row>
    <row r="20" spans="2:20" ht="33.75" customHeight="1" x14ac:dyDescent="0.25">
      <c r="B20" s="319" t="s">
        <v>837</v>
      </c>
      <c r="C20" s="1734" t="s">
        <v>838</v>
      </c>
      <c r="D20" s="1735" t="s">
        <v>839</v>
      </c>
      <c r="E20" s="1500"/>
      <c r="F20" s="1502"/>
      <c r="G20" s="1502"/>
      <c r="H20" s="1502"/>
      <c r="I20" s="1501"/>
      <c r="J20" s="1503"/>
      <c r="K20" s="1515"/>
      <c r="L20" s="21"/>
      <c r="M20" s="21"/>
      <c r="N20" s="21"/>
      <c r="O20" s="21"/>
      <c r="P20" s="21"/>
      <c r="Q20" s="21"/>
      <c r="R20" s="21"/>
      <c r="S20" s="21"/>
      <c r="T20" s="21"/>
    </row>
    <row r="21" spans="2:20" ht="38.25" customHeight="1" x14ac:dyDescent="0.25">
      <c r="B21" s="319" t="s">
        <v>840</v>
      </c>
      <c r="C21" s="1734" t="s">
        <v>841</v>
      </c>
      <c r="D21" s="1735" t="s">
        <v>842</v>
      </c>
      <c r="E21" s="1500"/>
      <c r="F21" s="1502"/>
      <c r="G21" s="1502"/>
      <c r="H21" s="1502"/>
      <c r="I21" s="1501"/>
      <c r="J21" s="1503"/>
      <c r="K21" s="1515"/>
      <c r="L21" s="21"/>
      <c r="M21" s="21"/>
      <c r="N21" s="21"/>
      <c r="O21" s="21"/>
      <c r="P21" s="21"/>
      <c r="Q21" s="21"/>
      <c r="R21" s="21"/>
      <c r="S21" s="21"/>
      <c r="T21" s="21"/>
    </row>
    <row r="22" spans="2:20" ht="56.25" customHeight="1" x14ac:dyDescent="0.25">
      <c r="B22" s="319" t="s">
        <v>843</v>
      </c>
      <c r="C22" s="1734" t="s">
        <v>844</v>
      </c>
      <c r="D22" s="1735" t="s">
        <v>845</v>
      </c>
      <c r="E22" s="1509"/>
      <c r="F22" s="1502"/>
      <c r="G22" s="1502"/>
      <c r="H22" s="1502"/>
      <c r="I22" s="1508"/>
      <c r="J22" s="1510"/>
      <c r="K22" s="1515"/>
      <c r="L22" s="21"/>
      <c r="M22" s="21"/>
      <c r="N22" s="21"/>
      <c r="O22" s="21"/>
      <c r="P22" s="21"/>
      <c r="Q22" s="21"/>
      <c r="R22" s="21"/>
      <c r="S22" s="21"/>
      <c r="T22" s="21"/>
    </row>
    <row r="23" spans="2:20" ht="59.25" customHeight="1" x14ac:dyDescent="0.25">
      <c r="B23" s="319" t="s">
        <v>846</v>
      </c>
      <c r="C23" s="1734" t="s">
        <v>847</v>
      </c>
      <c r="D23" s="1735" t="s">
        <v>848</v>
      </c>
      <c r="E23" s="1509"/>
      <c r="F23" s="1502"/>
      <c r="G23" s="1502"/>
      <c r="H23" s="1502"/>
      <c r="I23" s="1508"/>
      <c r="J23" s="1510"/>
      <c r="K23" s="1515"/>
      <c r="L23" s="21"/>
      <c r="M23" s="21"/>
      <c r="N23" s="21"/>
      <c r="O23" s="21"/>
      <c r="P23" s="21"/>
      <c r="Q23" s="21"/>
      <c r="R23" s="21"/>
      <c r="S23" s="21"/>
      <c r="T23" s="21"/>
    </row>
    <row r="24" spans="2:20" ht="33.75" customHeight="1" x14ac:dyDescent="0.25">
      <c r="B24" s="319" t="s">
        <v>849</v>
      </c>
      <c r="C24" s="1734" t="s">
        <v>850</v>
      </c>
      <c r="D24" s="1735" t="s">
        <v>851</v>
      </c>
      <c r="E24" s="1509"/>
      <c r="F24" s="1502"/>
      <c r="G24" s="1502"/>
      <c r="H24" s="1502"/>
      <c r="I24" s="1508"/>
      <c r="J24" s="1510"/>
      <c r="K24" s="1515"/>
      <c r="L24" s="21"/>
      <c r="M24" s="21"/>
      <c r="N24" s="21"/>
      <c r="O24" s="21"/>
      <c r="P24" s="21"/>
      <c r="Q24" s="21"/>
      <c r="R24" s="21"/>
      <c r="S24" s="21"/>
      <c r="T24" s="21"/>
    </row>
    <row r="25" spans="2:20" ht="39.9" customHeight="1" x14ac:dyDescent="0.25">
      <c r="B25" s="319" t="s">
        <v>852</v>
      </c>
      <c r="C25" s="1734" t="s">
        <v>853</v>
      </c>
      <c r="D25" s="1741" t="s">
        <v>854</v>
      </c>
      <c r="E25" s="1509"/>
      <c r="F25" s="1508"/>
      <c r="G25" s="1508"/>
      <c r="H25" s="1508"/>
      <c r="I25" s="1502"/>
      <c r="J25" s="1510"/>
      <c r="K25" s="1515"/>
      <c r="L25" s="21"/>
      <c r="M25" s="21"/>
      <c r="N25" s="21"/>
      <c r="O25" s="21"/>
      <c r="P25" s="21"/>
      <c r="Q25" s="21"/>
      <c r="R25" s="21"/>
      <c r="S25" s="21"/>
      <c r="T25" s="21"/>
    </row>
    <row r="26" spans="2:20" ht="39.9" customHeight="1" x14ac:dyDescent="0.25">
      <c r="B26" s="319" t="s">
        <v>855</v>
      </c>
      <c r="C26" s="1734" t="s">
        <v>856</v>
      </c>
      <c r="D26" s="1735" t="s">
        <v>857</v>
      </c>
      <c r="E26" s="1500"/>
      <c r="F26" s="1501"/>
      <c r="G26" s="1502"/>
      <c r="H26" s="1502"/>
      <c r="I26" s="1501"/>
      <c r="J26" s="1503"/>
      <c r="K26" s="1515"/>
      <c r="L26" s="21"/>
      <c r="M26" s="21"/>
      <c r="N26" s="21"/>
      <c r="O26" s="21"/>
      <c r="P26" s="21"/>
      <c r="Q26" s="21"/>
      <c r="R26" s="21"/>
      <c r="S26" s="21"/>
      <c r="T26" s="21"/>
    </row>
    <row r="27" spans="2:20" ht="39.9" customHeight="1" x14ac:dyDescent="0.2">
      <c r="B27" s="319" t="s">
        <v>858</v>
      </c>
      <c r="C27" s="1734" t="s">
        <v>859</v>
      </c>
      <c r="D27" s="1735" t="s">
        <v>860</v>
      </c>
      <c r="E27" s="1500"/>
      <c r="F27" s="1501"/>
      <c r="G27" s="1502"/>
      <c r="H27" s="1502"/>
      <c r="I27" s="1501"/>
      <c r="J27" s="1503"/>
      <c r="K27" s="1515"/>
      <c r="L27" s="21"/>
      <c r="M27" s="21"/>
      <c r="N27" s="21"/>
      <c r="O27" s="21"/>
      <c r="P27" s="21"/>
      <c r="Q27" s="21"/>
      <c r="R27" s="21"/>
      <c r="S27" s="21"/>
      <c r="T27" s="21"/>
    </row>
    <row r="28" spans="2:20" ht="39.9" customHeight="1" x14ac:dyDescent="0.25">
      <c r="B28" s="319" t="s">
        <v>861</v>
      </c>
      <c r="C28" s="1734" t="s">
        <v>862</v>
      </c>
      <c r="D28" s="1735" t="s">
        <v>863</v>
      </c>
      <c r="E28" s="1500"/>
      <c r="F28" s="1502"/>
      <c r="G28" s="1502"/>
      <c r="H28" s="1501"/>
      <c r="I28" s="1501"/>
      <c r="J28" s="1503"/>
      <c r="K28" s="1515"/>
      <c r="L28" s="21"/>
      <c r="M28" s="21"/>
      <c r="N28" s="21"/>
      <c r="O28" s="21"/>
      <c r="P28" s="21"/>
      <c r="Q28" s="21"/>
      <c r="R28" s="21"/>
      <c r="S28" s="21"/>
      <c r="T28" s="21"/>
    </row>
    <row r="29" spans="2:20" ht="39.9" customHeight="1" x14ac:dyDescent="0.25">
      <c r="B29" s="319" t="s">
        <v>864</v>
      </c>
      <c r="C29" s="1734" t="s">
        <v>865</v>
      </c>
      <c r="D29" s="1735" t="s">
        <v>866</v>
      </c>
      <c r="E29" s="1500"/>
      <c r="F29" s="1501"/>
      <c r="G29" s="1501"/>
      <c r="H29" s="1502"/>
      <c r="I29" s="1501"/>
      <c r="J29" s="1503"/>
      <c r="K29" s="1515"/>
      <c r="L29" s="21"/>
      <c r="M29" s="21"/>
      <c r="N29" s="21"/>
      <c r="O29" s="21"/>
      <c r="P29" s="21"/>
      <c r="Q29" s="21"/>
      <c r="R29" s="21"/>
      <c r="S29" s="21"/>
      <c r="T29" s="21"/>
    </row>
    <row r="30" spans="2:20" ht="39.9" customHeight="1" x14ac:dyDescent="0.25">
      <c r="B30" s="319" t="s">
        <v>867</v>
      </c>
      <c r="C30" s="1734" t="s">
        <v>868</v>
      </c>
      <c r="D30" s="1735" t="s">
        <v>869</v>
      </c>
      <c r="E30" s="1500"/>
      <c r="F30" s="1502"/>
      <c r="G30" s="1502"/>
      <c r="H30" s="1502"/>
      <c r="I30" s="1501"/>
      <c r="J30" s="1503"/>
      <c r="K30" s="1515"/>
      <c r="L30" s="21"/>
      <c r="M30" s="21"/>
      <c r="N30" s="21"/>
      <c r="O30" s="21"/>
      <c r="P30" s="21"/>
      <c r="Q30" s="21"/>
      <c r="R30" s="21"/>
      <c r="S30" s="21"/>
      <c r="T30" s="21"/>
    </row>
    <row r="31" spans="2:20" ht="39.9" customHeight="1" x14ac:dyDescent="0.25">
      <c r="B31" s="319" t="s">
        <v>870</v>
      </c>
      <c r="C31" s="1734" t="s">
        <v>871</v>
      </c>
      <c r="D31" s="1735" t="s">
        <v>872</v>
      </c>
      <c r="E31" s="1509"/>
      <c r="F31" s="1502"/>
      <c r="G31" s="1502"/>
      <c r="H31" s="1502"/>
      <c r="I31" s="1508"/>
      <c r="J31" s="1510"/>
      <c r="K31" s="1515"/>
      <c r="L31" s="21"/>
      <c r="M31" s="21"/>
      <c r="N31" s="21"/>
      <c r="O31" s="21"/>
      <c r="P31" s="21"/>
      <c r="Q31" s="21"/>
      <c r="R31" s="21"/>
      <c r="S31" s="21"/>
      <c r="T31" s="21"/>
    </row>
    <row r="32" spans="2:20" ht="39.9" customHeight="1" x14ac:dyDescent="0.25">
      <c r="B32" s="319" t="s">
        <v>873</v>
      </c>
      <c r="C32" s="1734" t="s">
        <v>874</v>
      </c>
      <c r="D32" s="1735" t="s">
        <v>875</v>
      </c>
      <c r="E32" s="1509"/>
      <c r="F32" s="1502"/>
      <c r="G32" s="1502"/>
      <c r="H32" s="1502"/>
      <c r="I32" s="1508"/>
      <c r="J32" s="1510"/>
      <c r="K32" s="1515"/>
      <c r="L32" s="21"/>
      <c r="M32" s="21"/>
      <c r="N32" s="21"/>
      <c r="O32" s="21"/>
      <c r="P32" s="21"/>
      <c r="Q32" s="21"/>
      <c r="R32" s="21"/>
      <c r="S32" s="21"/>
      <c r="T32" s="21"/>
    </row>
    <row r="33" spans="2:20" ht="39.9" customHeight="1" x14ac:dyDescent="0.2">
      <c r="B33" s="319" t="s">
        <v>876</v>
      </c>
      <c r="C33" s="1734" t="s">
        <v>877</v>
      </c>
      <c r="D33" s="1735" t="s">
        <v>878</v>
      </c>
      <c r="E33" s="1509"/>
      <c r="F33" s="1508"/>
      <c r="G33" s="1508"/>
      <c r="H33" s="1508"/>
      <c r="I33" s="1502"/>
      <c r="J33" s="1510"/>
      <c r="K33" s="25"/>
      <c r="L33" s="21"/>
      <c r="M33" s="21"/>
      <c r="N33" s="21"/>
      <c r="O33" s="21"/>
      <c r="P33" s="21"/>
      <c r="Q33" s="21"/>
      <c r="R33" s="21"/>
      <c r="S33" s="21"/>
      <c r="T33" s="21"/>
    </row>
    <row r="34" spans="2:20" ht="39.9" customHeight="1" x14ac:dyDescent="0.2">
      <c r="B34" s="319" t="s">
        <v>879</v>
      </c>
      <c r="C34" s="1734" t="s">
        <v>880</v>
      </c>
      <c r="D34" s="1736" t="s">
        <v>881</v>
      </c>
      <c r="E34" s="1500"/>
      <c r="F34" s="1501"/>
      <c r="G34" s="1502"/>
      <c r="H34" s="1501"/>
      <c r="I34" s="1501"/>
      <c r="J34" s="1503"/>
      <c r="K34" s="1515"/>
      <c r="L34" s="21"/>
      <c r="M34" s="21"/>
      <c r="N34" s="21"/>
      <c r="O34" s="21"/>
      <c r="P34" s="21"/>
      <c r="Q34" s="21"/>
      <c r="R34" s="21"/>
      <c r="S34" s="21"/>
      <c r="T34" s="21"/>
    </row>
    <row r="35" spans="2:20" ht="53.25" customHeight="1" x14ac:dyDescent="0.25">
      <c r="B35" s="326" t="s">
        <v>882</v>
      </c>
      <c r="C35" s="1734" t="s">
        <v>883</v>
      </c>
      <c r="D35" s="1736" t="s">
        <v>884</v>
      </c>
      <c r="E35" s="1500"/>
      <c r="F35" s="1501"/>
      <c r="G35" s="1502"/>
      <c r="H35" s="1502"/>
      <c r="I35" s="1501"/>
      <c r="J35" s="1503"/>
      <c r="K35" s="21"/>
      <c r="L35" s="21"/>
      <c r="M35" s="21"/>
      <c r="N35" s="21"/>
      <c r="O35" s="21"/>
      <c r="P35" s="21"/>
      <c r="Q35" s="21"/>
      <c r="R35" s="21"/>
    </row>
    <row r="36" spans="2:20" ht="53.25" customHeight="1" x14ac:dyDescent="0.25">
      <c r="B36" s="326" t="s">
        <v>885</v>
      </c>
      <c r="C36" s="1734" t="s">
        <v>886</v>
      </c>
      <c r="D36" s="1736" t="s">
        <v>887</v>
      </c>
      <c r="E36" s="1500"/>
      <c r="F36" s="1502"/>
      <c r="G36" s="1502"/>
      <c r="H36" s="1501"/>
      <c r="I36" s="1501"/>
      <c r="J36" s="1503"/>
      <c r="K36" s="21"/>
      <c r="L36" s="21"/>
      <c r="M36" s="21"/>
      <c r="N36" s="21"/>
      <c r="O36" s="21"/>
      <c r="P36" s="21"/>
      <c r="Q36" s="21"/>
      <c r="R36" s="21"/>
    </row>
    <row r="37" spans="2:20" ht="39.9" customHeight="1" x14ac:dyDescent="0.2">
      <c r="B37" s="319" t="s">
        <v>888</v>
      </c>
      <c r="C37" s="1734" t="s">
        <v>889</v>
      </c>
      <c r="D37" s="1736" t="s">
        <v>890</v>
      </c>
      <c r="E37" s="1509"/>
      <c r="F37" s="1501"/>
      <c r="G37" s="1508"/>
      <c r="H37" s="1501"/>
      <c r="I37" s="1501"/>
      <c r="J37" s="1503"/>
      <c r="K37" s="1515"/>
      <c r="L37" s="21"/>
      <c r="M37" s="21"/>
      <c r="N37" s="21"/>
      <c r="O37" s="21"/>
      <c r="P37" s="21"/>
      <c r="Q37" s="21"/>
      <c r="R37" s="21"/>
      <c r="S37" s="21"/>
      <c r="T37" s="21"/>
    </row>
    <row r="38" spans="2:20" ht="54.75" customHeight="1" x14ac:dyDescent="0.25">
      <c r="B38" s="326" t="s">
        <v>891</v>
      </c>
      <c r="C38" s="1734" t="s">
        <v>892</v>
      </c>
      <c r="D38" s="1736" t="s">
        <v>893</v>
      </c>
      <c r="E38" s="1509"/>
      <c r="F38" s="1501"/>
      <c r="G38" s="1508"/>
      <c r="H38" s="1502"/>
      <c r="I38" s="1501"/>
      <c r="J38" s="1503"/>
      <c r="K38" s="1515"/>
      <c r="L38" s="21"/>
      <c r="M38" s="21"/>
      <c r="N38" s="21"/>
      <c r="O38" s="21"/>
      <c r="P38" s="21"/>
      <c r="Q38" s="21"/>
      <c r="R38" s="21"/>
      <c r="S38" s="21"/>
      <c r="T38" s="21"/>
    </row>
    <row r="39" spans="2:20" ht="54.75" customHeight="1" x14ac:dyDescent="0.25">
      <c r="B39" s="326" t="s">
        <v>894</v>
      </c>
      <c r="C39" s="1734" t="s">
        <v>895</v>
      </c>
      <c r="D39" s="1736" t="s">
        <v>896</v>
      </c>
      <c r="E39" s="1507"/>
      <c r="F39" s="1508"/>
      <c r="G39" s="1502"/>
      <c r="H39" s="1501"/>
      <c r="I39" s="1501"/>
      <c r="J39" s="1503"/>
      <c r="K39" s="1515"/>
      <c r="L39" s="21"/>
      <c r="M39" s="21"/>
      <c r="N39" s="21"/>
      <c r="O39" s="21"/>
      <c r="P39" s="21"/>
      <c r="Q39" s="21"/>
      <c r="R39" s="21"/>
      <c r="S39" s="21"/>
      <c r="T39" s="21"/>
    </row>
    <row r="40" spans="2:20" ht="39.9" customHeight="1" x14ac:dyDescent="0.2">
      <c r="B40" s="319" t="s">
        <v>897</v>
      </c>
      <c r="C40" s="1734" t="s">
        <v>898</v>
      </c>
      <c r="D40" s="1736" t="s">
        <v>899</v>
      </c>
      <c r="E40" s="1509"/>
      <c r="F40" s="1508"/>
      <c r="G40" s="1501"/>
      <c r="H40" s="1501"/>
      <c r="I40" s="1501"/>
      <c r="J40" s="1503"/>
      <c r="K40" s="1515"/>
      <c r="L40" s="21"/>
      <c r="M40" s="21"/>
      <c r="N40" s="21"/>
      <c r="O40" s="21"/>
      <c r="P40" s="21"/>
      <c r="Q40" s="21"/>
      <c r="R40" s="21"/>
      <c r="S40" s="21"/>
      <c r="T40" s="21"/>
    </row>
    <row r="41" spans="2:20" ht="53.25" customHeight="1" x14ac:dyDescent="0.25">
      <c r="B41" s="326" t="s">
        <v>900</v>
      </c>
      <c r="C41" s="1734" t="s">
        <v>901</v>
      </c>
      <c r="D41" s="1736" t="s">
        <v>902</v>
      </c>
      <c r="E41" s="1509"/>
      <c r="F41" s="1508"/>
      <c r="G41" s="1501"/>
      <c r="H41" s="1502"/>
      <c r="I41" s="1501"/>
      <c r="J41" s="1503"/>
      <c r="K41" s="1515"/>
      <c r="L41" s="21"/>
      <c r="M41" s="21"/>
      <c r="N41" s="21"/>
      <c r="O41" s="21"/>
      <c r="P41" s="21"/>
      <c r="Q41" s="21"/>
      <c r="R41" s="21"/>
      <c r="S41" s="21"/>
      <c r="T41" s="21"/>
    </row>
    <row r="42" spans="2:20" ht="53.25" customHeight="1" x14ac:dyDescent="0.25">
      <c r="B42" s="326" t="s">
        <v>903</v>
      </c>
      <c r="C42" s="1734" t="s">
        <v>904</v>
      </c>
      <c r="D42" s="1736" t="s">
        <v>905</v>
      </c>
      <c r="E42" s="1507"/>
      <c r="F42" s="1502"/>
      <c r="G42" s="1508"/>
      <c r="H42" s="1501"/>
      <c r="I42" s="1501"/>
      <c r="J42" s="1503"/>
      <c r="K42" s="21"/>
      <c r="L42" s="21"/>
      <c r="M42" s="21"/>
      <c r="N42" s="21"/>
      <c r="O42" s="21"/>
      <c r="P42" s="21"/>
      <c r="Q42" s="21"/>
    </row>
    <row r="43" spans="2:20" ht="39.9" customHeight="1" x14ac:dyDescent="0.25">
      <c r="B43" s="319" t="s">
        <v>906</v>
      </c>
      <c r="C43" s="1734" t="s">
        <v>907</v>
      </c>
      <c r="D43" s="1735" t="s">
        <v>908</v>
      </c>
      <c r="E43" s="1509"/>
      <c r="F43" s="1508"/>
      <c r="G43" s="1508"/>
      <c r="H43" s="1508"/>
      <c r="I43" s="1502"/>
      <c r="J43" s="1510"/>
      <c r="K43" s="21"/>
      <c r="L43" s="21"/>
      <c r="M43" s="21"/>
      <c r="N43" s="21"/>
      <c r="O43" s="21"/>
      <c r="P43" s="21"/>
    </row>
    <row r="44" spans="2:20" ht="39.9" customHeight="1" x14ac:dyDescent="0.25">
      <c r="B44" s="319" t="s">
        <v>909</v>
      </c>
      <c r="C44" s="1734" t="s">
        <v>910</v>
      </c>
      <c r="D44" s="1736" t="s">
        <v>911</v>
      </c>
      <c r="E44" s="1500"/>
      <c r="F44" s="1508"/>
      <c r="G44" s="1508"/>
      <c r="H44" s="1508"/>
      <c r="I44" s="1501"/>
      <c r="J44" s="1503"/>
      <c r="K44" s="21"/>
      <c r="L44" s="21"/>
      <c r="M44" s="21"/>
      <c r="N44" s="21"/>
      <c r="O44" s="21"/>
      <c r="P44" s="21"/>
    </row>
    <row r="45" spans="2:20" ht="55.5" customHeight="1" x14ac:dyDescent="0.25">
      <c r="B45" s="319" t="s">
        <v>912</v>
      </c>
      <c r="C45" s="1734" t="s">
        <v>913</v>
      </c>
      <c r="D45" s="1736" t="s">
        <v>914</v>
      </c>
      <c r="E45" s="1509"/>
      <c r="F45" s="1501"/>
      <c r="G45" s="1501"/>
      <c r="H45" s="1501"/>
      <c r="I45" s="1502"/>
      <c r="J45" s="1503"/>
      <c r="K45" s="21"/>
      <c r="L45" s="21"/>
      <c r="M45" s="21"/>
      <c r="N45" s="21"/>
      <c r="O45" s="21"/>
      <c r="P45" s="21"/>
    </row>
    <row r="46" spans="2:20" ht="55.5" customHeight="1" x14ac:dyDescent="0.25">
      <c r="B46" s="319" t="s">
        <v>915</v>
      </c>
      <c r="C46" s="1734" t="s">
        <v>916</v>
      </c>
      <c r="D46" s="1736" t="s">
        <v>917</v>
      </c>
      <c r="E46" s="1509"/>
      <c r="F46" s="1501"/>
      <c r="G46" s="1501"/>
      <c r="H46" s="1501"/>
      <c r="I46" s="1502"/>
      <c r="J46" s="1503"/>
      <c r="K46" s="21"/>
      <c r="L46" s="21"/>
      <c r="M46" s="21"/>
      <c r="N46" s="21"/>
      <c r="O46" s="21"/>
      <c r="P46" s="21"/>
    </row>
    <row r="47" spans="2:20" ht="55.5" customHeight="1" x14ac:dyDescent="0.25">
      <c r="B47" s="319" t="s">
        <v>918</v>
      </c>
      <c r="C47" s="1734" t="s">
        <v>919</v>
      </c>
      <c r="D47" s="1736" t="s">
        <v>920</v>
      </c>
      <c r="E47" s="1509"/>
      <c r="F47" s="1501"/>
      <c r="G47" s="1508"/>
      <c r="H47" s="1508"/>
      <c r="I47" s="1501"/>
      <c r="J47" s="1503"/>
      <c r="K47" s="21"/>
      <c r="L47" s="21"/>
      <c r="M47" s="21"/>
      <c r="N47" s="21"/>
      <c r="O47" s="21"/>
      <c r="P47" s="21"/>
    </row>
    <row r="48" spans="2:20" ht="55.5" customHeight="1" x14ac:dyDescent="0.25">
      <c r="B48" s="319" t="s">
        <v>921</v>
      </c>
      <c r="C48" s="1734" t="s">
        <v>922</v>
      </c>
      <c r="D48" s="1736" t="s">
        <v>923</v>
      </c>
      <c r="E48" s="1509"/>
      <c r="F48" s="1501"/>
      <c r="G48" s="1501"/>
      <c r="H48" s="1501"/>
      <c r="I48" s="1502"/>
      <c r="J48" s="1503"/>
      <c r="K48" s="21"/>
      <c r="L48" s="21"/>
      <c r="M48" s="21"/>
      <c r="N48" s="21"/>
      <c r="O48" s="21"/>
      <c r="P48" s="21"/>
    </row>
    <row r="49" spans="2:20" ht="55.5" customHeight="1" x14ac:dyDescent="0.25">
      <c r="B49" s="319" t="s">
        <v>924</v>
      </c>
      <c r="C49" s="1734" t="s">
        <v>925</v>
      </c>
      <c r="D49" s="1736" t="s">
        <v>926</v>
      </c>
      <c r="E49" s="1509"/>
      <c r="F49" s="1501"/>
      <c r="G49" s="1501"/>
      <c r="H49" s="1501"/>
      <c r="I49" s="1502"/>
      <c r="J49" s="1503"/>
      <c r="K49" s="21"/>
      <c r="L49" s="21"/>
      <c r="M49" s="21"/>
      <c r="N49" s="21"/>
      <c r="O49" s="21"/>
      <c r="P49" s="21"/>
    </row>
    <row r="50" spans="2:20" ht="55.5" customHeight="1" x14ac:dyDescent="0.25">
      <c r="B50" s="319" t="s">
        <v>927</v>
      </c>
      <c r="C50" s="1734" t="s">
        <v>928</v>
      </c>
      <c r="D50" s="1736" t="s">
        <v>929</v>
      </c>
      <c r="E50" s="1509"/>
      <c r="F50" s="1508"/>
      <c r="G50" s="1501"/>
      <c r="H50" s="1508"/>
      <c r="I50" s="1501"/>
      <c r="J50" s="1503"/>
      <c r="K50" s="21"/>
      <c r="L50" s="21"/>
      <c r="M50" s="21"/>
      <c r="N50" s="21"/>
      <c r="O50" s="21"/>
      <c r="P50" s="21"/>
    </row>
    <row r="51" spans="2:20" ht="55.5" customHeight="1" x14ac:dyDescent="0.25">
      <c r="B51" s="319" t="s">
        <v>930</v>
      </c>
      <c r="C51" s="1734" t="s">
        <v>931</v>
      </c>
      <c r="D51" s="1736" t="s">
        <v>932</v>
      </c>
      <c r="E51" s="1509"/>
      <c r="F51" s="1501"/>
      <c r="G51" s="1501"/>
      <c r="H51" s="1501"/>
      <c r="I51" s="1502"/>
      <c r="J51" s="1503"/>
      <c r="K51" s="21"/>
      <c r="L51" s="21"/>
      <c r="M51" s="21"/>
      <c r="N51" s="21"/>
      <c r="O51" s="21"/>
      <c r="P51" s="21"/>
    </row>
    <row r="52" spans="2:20" ht="55.5" customHeight="1" x14ac:dyDescent="0.25">
      <c r="B52" s="319" t="s">
        <v>933</v>
      </c>
      <c r="C52" s="1734" t="s">
        <v>934</v>
      </c>
      <c r="D52" s="1736" t="s">
        <v>935</v>
      </c>
      <c r="E52" s="1509"/>
      <c r="F52" s="1501"/>
      <c r="G52" s="1501"/>
      <c r="H52" s="1501"/>
      <c r="I52" s="1502"/>
      <c r="J52" s="1503"/>
      <c r="K52" s="21"/>
      <c r="L52" s="21"/>
      <c r="M52" s="21"/>
      <c r="N52" s="21"/>
      <c r="O52" s="21"/>
      <c r="P52" s="21"/>
    </row>
    <row r="53" spans="2:20" ht="55.5" customHeight="1" x14ac:dyDescent="0.25">
      <c r="B53" s="319" t="s">
        <v>936</v>
      </c>
      <c r="C53" s="1734" t="s">
        <v>937</v>
      </c>
      <c r="D53" s="1735" t="s">
        <v>938</v>
      </c>
      <c r="E53" s="1509"/>
      <c r="F53" s="1508"/>
      <c r="G53" s="1508"/>
      <c r="H53" s="1508"/>
      <c r="I53" s="1502"/>
      <c r="J53" s="1503"/>
      <c r="K53" s="21"/>
      <c r="L53" s="21"/>
      <c r="M53" s="21"/>
      <c r="N53" s="21"/>
      <c r="O53" s="21"/>
      <c r="P53" s="21"/>
      <c r="Q53" s="21"/>
    </row>
    <row r="54" spans="2:20" ht="55.5" customHeight="1" x14ac:dyDescent="0.25">
      <c r="B54" s="319" t="s">
        <v>939</v>
      </c>
      <c r="C54" s="1734" t="s">
        <v>940</v>
      </c>
      <c r="D54" s="1736" t="s">
        <v>941</v>
      </c>
      <c r="E54" s="1500"/>
      <c r="F54" s="1501"/>
      <c r="G54" s="1501"/>
      <c r="H54" s="1501"/>
      <c r="I54" s="1501"/>
      <c r="J54" s="1503"/>
      <c r="N54" s="21"/>
      <c r="O54" s="21"/>
      <c r="P54" s="21"/>
      <c r="Q54" s="21"/>
      <c r="R54" s="21"/>
      <c r="S54" s="21"/>
      <c r="T54" s="21"/>
    </row>
    <row r="55" spans="2:20" ht="55.5" customHeight="1" x14ac:dyDescent="0.25">
      <c r="B55" s="319" t="s">
        <v>942</v>
      </c>
      <c r="C55" s="1734" t="s">
        <v>943</v>
      </c>
      <c r="D55" s="1736" t="s">
        <v>944</v>
      </c>
      <c r="E55" s="1509"/>
      <c r="F55" s="1501"/>
      <c r="G55" s="1501"/>
      <c r="H55" s="1501"/>
      <c r="I55" s="1501"/>
      <c r="J55" s="1503"/>
      <c r="K55" s="1515"/>
      <c r="L55" s="21"/>
      <c r="M55" s="21"/>
      <c r="N55" s="21"/>
      <c r="O55" s="21"/>
      <c r="P55" s="21"/>
      <c r="Q55" s="21"/>
      <c r="R55" s="21"/>
      <c r="S55" s="21"/>
      <c r="T55" s="21"/>
    </row>
    <row r="56" spans="2:20" ht="55.5" customHeight="1" x14ac:dyDescent="0.25">
      <c r="B56" s="319" t="s">
        <v>945</v>
      </c>
      <c r="C56" s="1734" t="s">
        <v>946</v>
      </c>
      <c r="D56" s="1736" t="s">
        <v>947</v>
      </c>
      <c r="E56" s="1509"/>
      <c r="F56" s="1501"/>
      <c r="G56" s="1501"/>
      <c r="H56" s="1501"/>
      <c r="I56" s="1501"/>
      <c r="J56" s="1503"/>
      <c r="K56" s="1515"/>
      <c r="L56" s="21"/>
      <c r="M56" s="21"/>
      <c r="N56" s="21"/>
      <c r="O56" s="21"/>
      <c r="P56" s="21"/>
      <c r="Q56" s="21"/>
      <c r="R56" s="21"/>
      <c r="S56" s="21"/>
      <c r="T56" s="21"/>
    </row>
    <row r="57" spans="2:20" ht="55.5" customHeight="1" x14ac:dyDescent="0.25">
      <c r="B57" s="319" t="s">
        <v>948</v>
      </c>
      <c r="C57" s="1734" t="s">
        <v>949</v>
      </c>
      <c r="D57" s="1735" t="s">
        <v>950</v>
      </c>
      <c r="E57" s="1500"/>
      <c r="F57" s="1502"/>
      <c r="G57" s="1502"/>
      <c r="H57" s="1501"/>
      <c r="I57" s="1502"/>
      <c r="J57" s="1503"/>
      <c r="K57" s="1515"/>
      <c r="L57" s="21"/>
      <c r="M57" s="21"/>
      <c r="N57" s="21"/>
      <c r="O57" s="21"/>
      <c r="P57" s="21"/>
      <c r="Q57" s="21"/>
      <c r="R57" s="21"/>
      <c r="S57" s="21"/>
      <c r="T57" s="21"/>
    </row>
    <row r="58" spans="2:20" ht="55.5" customHeight="1" x14ac:dyDescent="0.25">
      <c r="B58" s="319" t="s">
        <v>951</v>
      </c>
      <c r="C58" s="1734" t="s">
        <v>952</v>
      </c>
      <c r="D58" s="1735" t="s">
        <v>953</v>
      </c>
      <c r="E58" s="1500"/>
      <c r="F58" s="1502"/>
      <c r="G58" s="1502"/>
      <c r="H58" s="1501"/>
      <c r="I58" s="1501"/>
      <c r="J58" s="1503"/>
      <c r="K58" s="1515"/>
      <c r="L58" s="21"/>
      <c r="M58" s="21"/>
      <c r="N58" s="21"/>
      <c r="O58" s="21"/>
      <c r="P58" s="21"/>
      <c r="Q58" s="21"/>
      <c r="R58" s="21"/>
      <c r="S58" s="21"/>
      <c r="T58" s="21"/>
    </row>
    <row r="59" spans="2:20" ht="55.5" customHeight="1" x14ac:dyDescent="0.25">
      <c r="B59" s="319" t="s">
        <v>954</v>
      </c>
      <c r="C59" s="1734" t="s">
        <v>955</v>
      </c>
      <c r="D59" s="1735" t="s">
        <v>956</v>
      </c>
      <c r="E59" s="1509"/>
      <c r="F59" s="1508"/>
      <c r="G59" s="1508"/>
      <c r="H59" s="1508"/>
      <c r="I59" s="1502"/>
      <c r="J59" s="1503"/>
      <c r="K59" s="1515"/>
      <c r="L59" s="21"/>
      <c r="M59" s="21"/>
      <c r="N59" s="21"/>
      <c r="O59" s="21"/>
      <c r="P59" s="21"/>
      <c r="Q59" s="21"/>
      <c r="R59" s="21"/>
      <c r="S59" s="21"/>
      <c r="T59" s="21"/>
    </row>
    <row r="60" spans="2:20" ht="55.5" customHeight="1" x14ac:dyDescent="0.25">
      <c r="B60" s="319" t="s">
        <v>957</v>
      </c>
      <c r="C60" s="1734" t="s">
        <v>958</v>
      </c>
      <c r="D60" s="1736" t="s">
        <v>959</v>
      </c>
      <c r="E60" s="1500"/>
      <c r="F60" s="1501"/>
      <c r="G60" s="1501"/>
      <c r="H60" s="1501"/>
      <c r="I60" s="1501"/>
      <c r="J60" s="1503"/>
      <c r="K60" s="1515"/>
      <c r="L60" s="21"/>
      <c r="M60" s="21"/>
      <c r="N60" s="21"/>
      <c r="O60" s="21"/>
      <c r="P60" s="21"/>
      <c r="Q60" s="21"/>
      <c r="R60" s="21"/>
      <c r="S60" s="21"/>
      <c r="T60" s="21"/>
    </row>
    <row r="61" spans="2:20" ht="55.5" customHeight="1" x14ac:dyDescent="0.25">
      <c r="B61" s="319" t="s">
        <v>960</v>
      </c>
      <c r="C61" s="1734" t="s">
        <v>961</v>
      </c>
      <c r="D61" s="1736" t="s">
        <v>962</v>
      </c>
      <c r="E61" s="1509"/>
      <c r="F61" s="1501"/>
      <c r="G61" s="1501"/>
      <c r="H61" s="1501"/>
      <c r="I61" s="1501"/>
      <c r="J61" s="1503"/>
      <c r="K61" s="1515"/>
      <c r="L61" s="21"/>
      <c r="M61" s="21"/>
      <c r="N61" s="21"/>
      <c r="O61" s="21"/>
      <c r="P61" s="21"/>
      <c r="Q61" s="21"/>
      <c r="R61" s="21"/>
      <c r="S61" s="21"/>
      <c r="T61" s="21"/>
    </row>
    <row r="62" spans="2:20" ht="55.5" customHeight="1" x14ac:dyDescent="0.25">
      <c r="B62" s="319" t="s">
        <v>963</v>
      </c>
      <c r="C62" s="1734" t="s">
        <v>964</v>
      </c>
      <c r="D62" s="1736" t="s">
        <v>965</v>
      </c>
      <c r="E62" s="1509"/>
      <c r="F62" s="1501"/>
      <c r="G62" s="1501"/>
      <c r="H62" s="1501"/>
      <c r="I62" s="1501"/>
      <c r="J62" s="1503"/>
      <c r="K62" s="1515"/>
      <c r="L62" s="21"/>
      <c r="M62" s="21"/>
      <c r="N62" s="21"/>
      <c r="O62" s="21"/>
      <c r="P62" s="21"/>
      <c r="Q62" s="21"/>
      <c r="R62" s="21"/>
      <c r="S62" s="21"/>
      <c r="T62" s="21"/>
    </row>
    <row r="63" spans="2:20" ht="55.5" customHeight="1" x14ac:dyDescent="0.25">
      <c r="B63" s="319" t="s">
        <v>966</v>
      </c>
      <c r="C63" s="1734" t="s">
        <v>967</v>
      </c>
      <c r="D63" s="1735" t="s">
        <v>968</v>
      </c>
      <c r="E63" s="1509"/>
      <c r="F63" s="1502"/>
      <c r="G63" s="1502"/>
      <c r="H63" s="1502"/>
      <c r="I63" s="1502"/>
      <c r="J63" s="1503"/>
      <c r="K63" s="1515"/>
      <c r="L63" s="21"/>
      <c r="M63" s="21"/>
      <c r="N63" s="21"/>
      <c r="O63" s="21"/>
      <c r="P63" s="21"/>
      <c r="Q63" s="21"/>
      <c r="R63" s="21"/>
      <c r="S63" s="21"/>
      <c r="T63" s="21"/>
    </row>
    <row r="64" spans="2:20" ht="55.5" customHeight="1" thickBot="1" x14ac:dyDescent="0.3">
      <c r="B64" s="319" t="s">
        <v>969</v>
      </c>
      <c r="C64" s="1734" t="s">
        <v>970</v>
      </c>
      <c r="D64" s="1749" t="s">
        <v>3234</v>
      </c>
      <c r="E64" s="1744"/>
      <c r="F64" s="1501"/>
      <c r="G64" s="1501"/>
      <c r="H64" s="1501"/>
      <c r="I64" s="1501"/>
      <c r="J64" s="1746"/>
      <c r="K64" s="1515"/>
      <c r="L64" s="21"/>
      <c r="M64" s="21"/>
      <c r="N64" s="21"/>
      <c r="O64" s="21"/>
      <c r="P64" s="21"/>
      <c r="Q64" s="21"/>
      <c r="R64" s="21"/>
      <c r="S64" s="21"/>
      <c r="T64" s="21"/>
    </row>
    <row r="65" spans="2:20" ht="55.5" customHeight="1" thickBot="1" x14ac:dyDescent="0.3">
      <c r="B65" s="320" t="s">
        <v>971</v>
      </c>
      <c r="C65" s="1737" t="s">
        <v>972</v>
      </c>
      <c r="D65" s="1738" t="s">
        <v>973</v>
      </c>
      <c r="E65" s="1744"/>
      <c r="F65" s="1744"/>
      <c r="G65" s="1744"/>
      <c r="H65" s="1744"/>
      <c r="I65" s="1745"/>
      <c r="J65" s="1746"/>
      <c r="K65" s="1515"/>
      <c r="L65" s="21"/>
      <c r="M65" s="21"/>
      <c r="N65" s="21"/>
      <c r="O65" s="21"/>
      <c r="P65" s="21"/>
      <c r="Q65" s="21"/>
      <c r="R65" s="21"/>
      <c r="S65" s="21"/>
      <c r="T65" s="21"/>
    </row>
  </sheetData>
  <mergeCells count="7">
    <mergeCell ref="B2:J2"/>
    <mergeCell ref="B4:D5"/>
    <mergeCell ref="H4:H5"/>
    <mergeCell ref="I4:J4"/>
    <mergeCell ref="F4:F5"/>
    <mergeCell ref="G4:G5"/>
    <mergeCell ref="E4:E5"/>
  </mergeCells>
  <printOptions horizontalCentered="1" verticalCentered="1"/>
  <pageMargins left="0.31496062992125984" right="0.31496062992125984" top="0.74803149606299213" bottom="0.74803149606299213" header="0.31496062992125984" footer="0.31496062992125984"/>
  <pageSetup paperSize="9" scale="52" fitToHeight="3" orientation="landscape" r:id="rId1"/>
  <headerFooter>
    <oddHeader>&amp;CFR
ANNEXE I</oddHeader>
    <oddFooter>&amp;C&amp;P</oddFooter>
  </headerFooter>
  <rowBreaks count="1" manualBreakCount="1">
    <brk id="52" min="1" max="10" man="1"/>
  </rowBreaks>
  <ignoredErrors>
    <ignoredError sqref="B7:B51 E6:J6 B59 B53:B57 C7:C57 B61:B63 C59:C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19"/>
  <sheetViews>
    <sheetView showGridLines="0" showWhiteSpace="0" zoomScale="25" zoomScaleNormal="25" workbookViewId="0">
      <selection activeCell="D18" sqref="D18"/>
    </sheetView>
  </sheetViews>
  <sheetFormatPr defaultColWidth="11.44140625" defaultRowHeight="13.8" x14ac:dyDescent="0.25"/>
  <cols>
    <col min="1" max="1" width="1.6640625" style="31" customWidth="1"/>
    <col min="2" max="2" width="7.33203125" style="31" customWidth="1"/>
    <col min="3" max="3" width="11.88671875" style="31" customWidth="1"/>
    <col min="4" max="4" width="77.44140625" style="33" customWidth="1"/>
    <col min="5" max="5" width="21.109375" style="33" customWidth="1"/>
    <col min="6" max="6" width="32.6640625" style="33" customWidth="1"/>
    <col min="7" max="7" width="32.6640625" style="34" customWidth="1"/>
    <col min="8" max="9" width="32.6640625" style="33" customWidth="1"/>
    <col min="10" max="10" width="19.5546875" style="33" customWidth="1"/>
    <col min="11" max="11" width="44.109375" style="33" customWidth="1"/>
    <col min="12" max="12" width="76.88671875" style="33" customWidth="1"/>
    <col min="13" max="13" width="27.6640625" style="33" customWidth="1"/>
    <col min="14" max="14" width="37" style="33" customWidth="1"/>
    <col min="15" max="15" width="17.33203125" style="33" customWidth="1"/>
    <col min="16" max="16" width="14.6640625" style="33" customWidth="1"/>
    <col min="17" max="17" width="53.88671875" style="33" customWidth="1"/>
    <col min="18" max="18" width="15.88671875" style="33" customWidth="1"/>
    <col min="19" max="19" width="16.109375" style="33" customWidth="1"/>
    <col min="20" max="20" width="15" style="33" customWidth="1"/>
    <col min="21" max="21" width="13.44140625" style="33" customWidth="1"/>
    <col min="22" max="16384" width="11.44140625" style="33"/>
  </cols>
  <sheetData>
    <row r="1" spans="1:12" ht="26.25" customHeight="1" thickBot="1" x14ac:dyDescent="0.3">
      <c r="B1" s="1797" t="s">
        <v>974</v>
      </c>
      <c r="C1" s="1798"/>
      <c r="D1" s="1798"/>
      <c r="E1" s="1798"/>
      <c r="F1" s="1798"/>
      <c r="G1" s="1798"/>
      <c r="H1" s="1798"/>
      <c r="I1" s="1798"/>
      <c r="J1" s="1799"/>
    </row>
    <row r="2" spans="1:12" s="32" customFormat="1" ht="7.5" customHeight="1" thickBot="1" x14ac:dyDescent="0.25">
      <c r="A2" s="37"/>
      <c r="B2" s="37"/>
      <c r="C2" s="37"/>
    </row>
    <row r="3" spans="1:12" s="32" customFormat="1" ht="85.5" customHeight="1" x14ac:dyDescent="0.25">
      <c r="A3" s="37"/>
      <c r="B3" s="1807" t="s">
        <v>975</v>
      </c>
      <c r="C3" s="1808"/>
      <c r="D3" s="1808"/>
      <c r="E3" s="1540" t="s">
        <v>976</v>
      </c>
      <c r="F3" s="1540" t="s">
        <v>977</v>
      </c>
      <c r="G3" s="1540" t="s">
        <v>978</v>
      </c>
      <c r="H3" s="1541" t="s">
        <v>979</v>
      </c>
      <c r="I3" s="1540" t="s">
        <v>980</v>
      </c>
      <c r="J3" s="321" t="s">
        <v>981</v>
      </c>
      <c r="L3" s="38"/>
    </row>
    <row r="4" spans="1:12" s="32" customFormat="1" ht="18" customHeight="1" x14ac:dyDescent="0.2">
      <c r="A4" s="37"/>
      <c r="B4" s="1482" t="s">
        <v>982</v>
      </c>
      <c r="C4" s="1478" t="s">
        <v>983</v>
      </c>
      <c r="D4" s="1478" t="s">
        <v>984</v>
      </c>
      <c r="E4" s="323" t="s">
        <v>985</v>
      </c>
      <c r="F4" s="323" t="s">
        <v>986</v>
      </c>
      <c r="G4" s="323" t="s">
        <v>987</v>
      </c>
      <c r="H4" s="323" t="s">
        <v>988</v>
      </c>
      <c r="I4" s="323" t="s">
        <v>989</v>
      </c>
      <c r="J4" s="324" t="s">
        <v>990</v>
      </c>
      <c r="L4" s="38"/>
    </row>
    <row r="5" spans="1:12" s="32" customFormat="1" ht="39.9" customHeight="1" x14ac:dyDescent="0.25">
      <c r="A5" s="37"/>
      <c r="B5" s="325" t="s">
        <v>991</v>
      </c>
      <c r="C5" s="1727" t="s">
        <v>992</v>
      </c>
      <c r="D5" s="1728" t="s">
        <v>993</v>
      </c>
      <c r="E5" s="1483"/>
      <c r="F5" s="1484"/>
      <c r="G5" s="1485"/>
      <c r="H5" s="1484"/>
      <c r="I5" s="1484"/>
      <c r="J5" s="1501" t="s">
        <v>994</v>
      </c>
      <c r="L5" s="38"/>
    </row>
    <row r="6" spans="1:12" s="32" customFormat="1" ht="50.1" customHeight="1" x14ac:dyDescent="0.25">
      <c r="A6" s="37"/>
      <c r="B6" s="319" t="s">
        <v>995</v>
      </c>
      <c r="C6" s="1729" t="s">
        <v>996</v>
      </c>
      <c r="D6" s="1730" t="s">
        <v>997</v>
      </c>
      <c r="E6" s="1486"/>
      <c r="F6" s="1487"/>
      <c r="G6" s="1488"/>
      <c r="H6" s="1487"/>
      <c r="I6" s="1487"/>
      <c r="J6" s="1501" t="s">
        <v>998</v>
      </c>
      <c r="L6" s="38"/>
    </row>
    <row r="7" spans="1:12" s="32" customFormat="1" ht="24" customHeight="1" x14ac:dyDescent="0.2">
      <c r="A7" s="37"/>
      <c r="B7" s="319" t="s">
        <v>999</v>
      </c>
      <c r="C7" s="1729" t="s">
        <v>1000</v>
      </c>
      <c r="D7" s="1731" t="s">
        <v>1001</v>
      </c>
      <c r="E7" s="1489"/>
      <c r="F7" s="1490"/>
      <c r="G7" s="1490"/>
      <c r="H7" s="1490"/>
      <c r="I7" s="1490"/>
      <c r="J7" s="1491"/>
      <c r="L7" s="38"/>
    </row>
    <row r="8" spans="1:12" s="32" customFormat="1" ht="33.75" customHeight="1" x14ac:dyDescent="0.25">
      <c r="A8" s="37"/>
      <c r="B8" s="319" t="s">
        <v>1002</v>
      </c>
      <c r="C8" s="1729" t="s">
        <v>1003</v>
      </c>
      <c r="D8" s="1731" t="s">
        <v>1004</v>
      </c>
      <c r="E8" s="1486"/>
      <c r="F8" s="1490"/>
      <c r="G8" s="1490"/>
      <c r="H8" s="1490"/>
      <c r="I8" s="1490"/>
      <c r="J8" s="1491"/>
      <c r="L8" s="38"/>
    </row>
    <row r="9" spans="1:12" s="32" customFormat="1" ht="50.1" customHeight="1" x14ac:dyDescent="0.25">
      <c r="A9" s="37"/>
      <c r="B9" s="319" t="s">
        <v>1005</v>
      </c>
      <c r="C9" s="1729" t="s">
        <v>1006</v>
      </c>
      <c r="D9" s="1731" t="s">
        <v>1007</v>
      </c>
      <c r="E9" s="1486"/>
      <c r="F9" s="1490"/>
      <c r="G9" s="1490"/>
      <c r="H9" s="1490"/>
      <c r="I9" s="1490"/>
      <c r="J9" s="1491"/>
      <c r="L9" s="38"/>
    </row>
    <row r="10" spans="1:12" s="32" customFormat="1" ht="50.1" customHeight="1" x14ac:dyDescent="0.25">
      <c r="A10" s="37"/>
      <c r="B10" s="319" t="s">
        <v>1008</v>
      </c>
      <c r="C10" s="1729" t="s">
        <v>1009</v>
      </c>
      <c r="D10" s="1731" t="s">
        <v>1010</v>
      </c>
      <c r="E10" s="1486"/>
      <c r="F10" s="1490"/>
      <c r="G10" s="1490"/>
      <c r="H10" s="1490"/>
      <c r="I10" s="1490"/>
      <c r="J10" s="1491"/>
      <c r="L10" s="38"/>
    </row>
    <row r="11" spans="1:12" s="32" customFormat="1" ht="50.1" customHeight="1" x14ac:dyDescent="0.25">
      <c r="A11" s="37"/>
      <c r="B11" s="319" t="s">
        <v>1011</v>
      </c>
      <c r="C11" s="1729" t="s">
        <v>1012</v>
      </c>
      <c r="D11" s="1731" t="s">
        <v>1013</v>
      </c>
      <c r="E11" s="1486"/>
      <c r="F11" s="1490"/>
      <c r="G11" s="1490"/>
      <c r="H11" s="1490"/>
      <c r="I11" s="1490"/>
      <c r="J11" s="1491"/>
      <c r="L11" s="38"/>
    </row>
    <row r="12" spans="1:12" s="32" customFormat="1" ht="33.75" customHeight="1" x14ac:dyDescent="0.25">
      <c r="A12" s="37"/>
      <c r="B12" s="319" t="s">
        <v>1014</v>
      </c>
      <c r="C12" s="1729" t="s">
        <v>1015</v>
      </c>
      <c r="D12" s="1731" t="s">
        <v>1016</v>
      </c>
      <c r="E12" s="1492"/>
      <c r="F12" s="1490"/>
      <c r="G12" s="1490"/>
      <c r="H12" s="1490"/>
      <c r="I12" s="1490"/>
      <c r="J12" s="1491"/>
      <c r="L12" s="38"/>
    </row>
    <row r="13" spans="1:12" s="32" customFormat="1" ht="46.5" customHeight="1" x14ac:dyDescent="0.25">
      <c r="A13" s="37"/>
      <c r="B13" s="319" t="s">
        <v>1017</v>
      </c>
      <c r="C13" s="1729" t="s">
        <v>1018</v>
      </c>
      <c r="D13" s="1730" t="s">
        <v>1019</v>
      </c>
      <c r="E13" s="1486"/>
      <c r="F13" s="1487"/>
      <c r="G13" s="1487"/>
      <c r="H13" s="1487"/>
      <c r="I13" s="1487"/>
      <c r="J13" s="1501" t="s">
        <v>1020</v>
      </c>
      <c r="L13" s="38"/>
    </row>
    <row r="14" spans="1:12" s="32" customFormat="1" ht="24" customHeight="1" x14ac:dyDescent="0.25">
      <c r="A14" s="37"/>
      <c r="B14" s="319" t="s">
        <v>1021</v>
      </c>
      <c r="C14" s="1729" t="s">
        <v>1022</v>
      </c>
      <c r="D14" s="1731" t="s">
        <v>1023</v>
      </c>
      <c r="E14" s="1489"/>
      <c r="F14" s="1490"/>
      <c r="G14" s="1490"/>
      <c r="H14" s="1490"/>
      <c r="I14" s="1490"/>
      <c r="J14" s="1491"/>
      <c r="L14" s="38"/>
    </row>
    <row r="15" spans="1:12" s="32" customFormat="1" ht="35.25" customHeight="1" x14ac:dyDescent="0.25">
      <c r="A15" s="37"/>
      <c r="B15" s="319" t="s">
        <v>1024</v>
      </c>
      <c r="C15" s="1729" t="s">
        <v>1025</v>
      </c>
      <c r="D15" s="1731" t="s">
        <v>1026</v>
      </c>
      <c r="E15" s="1486"/>
      <c r="F15" s="1490"/>
      <c r="G15" s="1490"/>
      <c r="H15" s="1490"/>
      <c r="I15" s="1490"/>
      <c r="J15" s="1491"/>
      <c r="L15" s="38"/>
    </row>
    <row r="16" spans="1:12" s="32" customFormat="1" ht="48.75" customHeight="1" x14ac:dyDescent="0.25">
      <c r="A16" s="37"/>
      <c r="B16" s="319" t="s">
        <v>1027</v>
      </c>
      <c r="C16" s="1729" t="s">
        <v>1028</v>
      </c>
      <c r="D16" s="1731" t="s">
        <v>1029</v>
      </c>
      <c r="E16" s="1489"/>
      <c r="F16" s="1490"/>
      <c r="G16" s="1490"/>
      <c r="H16" s="1490"/>
      <c r="I16" s="1490"/>
      <c r="J16" s="1491"/>
      <c r="L16" s="38"/>
    </row>
    <row r="17" spans="1:12" s="32" customFormat="1" ht="50.1" customHeight="1" x14ac:dyDescent="0.25">
      <c r="A17" s="37"/>
      <c r="B17" s="319" t="s">
        <v>1030</v>
      </c>
      <c r="C17" s="1729" t="s">
        <v>1031</v>
      </c>
      <c r="D17" s="1731" t="s">
        <v>1032</v>
      </c>
      <c r="E17" s="1489"/>
      <c r="F17" s="1490"/>
      <c r="G17" s="1490"/>
      <c r="H17" s="1490"/>
      <c r="I17" s="1490"/>
      <c r="J17" s="1491"/>
      <c r="L17" s="38"/>
    </row>
    <row r="18" spans="1:12" s="32" customFormat="1" ht="50.1" customHeight="1" x14ac:dyDescent="0.25">
      <c r="A18" s="37"/>
      <c r="B18" s="319" t="s">
        <v>1033</v>
      </c>
      <c r="C18" s="1729" t="s">
        <v>1034</v>
      </c>
      <c r="D18" s="1731" t="s">
        <v>1035</v>
      </c>
      <c r="E18" s="1489"/>
      <c r="F18" s="1490"/>
      <c r="G18" s="1490"/>
      <c r="H18" s="1490"/>
      <c r="I18" s="1490"/>
      <c r="J18" s="1491"/>
      <c r="L18" s="38"/>
    </row>
    <row r="19" spans="1:12" s="32" customFormat="1" ht="33" customHeight="1" thickBot="1" x14ac:dyDescent="0.3">
      <c r="A19" s="37"/>
      <c r="B19" s="320" t="s">
        <v>1036</v>
      </c>
      <c r="C19" s="1732" t="s">
        <v>1037</v>
      </c>
      <c r="D19" s="1733" t="s">
        <v>1038</v>
      </c>
      <c r="E19" s="1493"/>
      <c r="F19" s="1494"/>
      <c r="G19" s="1494"/>
      <c r="H19" s="1494"/>
      <c r="I19" s="1494"/>
      <c r="J19" s="1495"/>
      <c r="L19" s="38"/>
    </row>
  </sheetData>
  <mergeCells count="2">
    <mergeCell ref="B1:J1"/>
    <mergeCell ref="B3:D3"/>
  </mergeCells>
  <printOptions horizontalCentered="1" verticalCentered="1"/>
  <pageMargins left="0.31496062992125984" right="0.31496062992125984" top="0.35433070866141736" bottom="0.35433070866141736" header="0.31496062992125984" footer="0.31496062992125984"/>
  <pageSetup paperSize="9" scale="45" fitToWidth="0" fitToHeight="0" pageOrder="overThenDown" orientation="landscape" r:id="rId1"/>
  <headerFooter>
    <oddHeader>&amp;CFR
ANNEXE I</oddHead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A10"/>
  <sheetViews>
    <sheetView zoomScale="25" zoomScaleNormal="25" zoomScalePageLayoutView="70" workbookViewId="0">
      <selection activeCell="C10" sqref="C10"/>
    </sheetView>
  </sheetViews>
  <sheetFormatPr defaultColWidth="21.109375" defaultRowHeight="12.6" x14ac:dyDescent="0.2"/>
  <cols>
    <col min="1" max="1" width="1.5546875" style="41" customWidth="1"/>
    <col min="2" max="2" width="4.44140625" style="42" bestFit="1" customWidth="1"/>
    <col min="3" max="3" width="7.33203125" style="41" bestFit="1" customWidth="1"/>
    <col min="4" max="27" width="18.44140625" style="41" customWidth="1"/>
    <col min="28" max="16384" width="21.109375" style="41"/>
  </cols>
  <sheetData>
    <row r="1" spans="1:27" ht="8.25" customHeight="1" thickBot="1" x14ac:dyDescent="0.3">
      <c r="A1" s="39"/>
      <c r="B1" s="40"/>
    </row>
    <row r="2" spans="1:27" s="1518" customFormat="1" ht="28.5" customHeight="1" thickBot="1" x14ac:dyDescent="0.35">
      <c r="B2" s="1812" t="s">
        <v>1039</v>
      </c>
      <c r="C2" s="1813"/>
      <c r="D2" s="1813"/>
      <c r="E2" s="1813"/>
      <c r="F2" s="1813"/>
      <c r="G2" s="1813"/>
      <c r="H2" s="1813"/>
      <c r="I2" s="1813"/>
      <c r="J2" s="1813"/>
      <c r="K2" s="1813"/>
      <c r="L2" s="1813"/>
      <c r="M2" s="1813"/>
      <c r="N2" s="1813"/>
      <c r="O2" s="1813"/>
      <c r="P2" s="1813"/>
      <c r="Q2" s="1813"/>
      <c r="R2" s="1813"/>
      <c r="S2" s="1814"/>
      <c r="T2" s="1819" t="s">
        <v>1040</v>
      </c>
      <c r="U2" s="1820"/>
      <c r="V2" s="1820"/>
      <c r="W2" s="1820"/>
      <c r="X2" s="1820"/>
      <c r="Y2" s="1820"/>
      <c r="Z2" s="1820"/>
      <c r="AA2" s="1820"/>
    </row>
    <row r="3" spans="1:27" s="331" customFormat="1" ht="9.75" customHeight="1" thickBot="1" x14ac:dyDescent="0.3">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row>
    <row r="4" spans="1:27" s="328" customFormat="1" ht="21.75" customHeight="1" x14ac:dyDescent="0.2">
      <c r="B4" s="1821"/>
      <c r="C4" s="1627"/>
      <c r="D4" s="1824" t="s">
        <v>1041</v>
      </c>
      <c r="E4" s="1824"/>
      <c r="F4" s="1824"/>
      <c r="G4" s="1824"/>
      <c r="H4" s="1824"/>
      <c r="I4" s="1824"/>
      <c r="J4" s="1824"/>
      <c r="K4" s="1824"/>
      <c r="L4" s="1824"/>
      <c r="M4" s="1824"/>
      <c r="N4" s="1824"/>
      <c r="O4" s="1824"/>
      <c r="P4" s="1824"/>
      <c r="Q4" s="1824"/>
      <c r="R4" s="1824"/>
      <c r="S4" s="1825"/>
      <c r="T4" s="1826" t="s">
        <v>1042</v>
      </c>
      <c r="U4" s="1824"/>
      <c r="V4" s="1824"/>
      <c r="W4" s="1827"/>
      <c r="X4" s="1827"/>
      <c r="Y4" s="1827"/>
      <c r="Z4" s="1827"/>
      <c r="AA4" s="1828"/>
    </row>
    <row r="5" spans="1:27" s="328" customFormat="1" ht="30" customHeight="1" x14ac:dyDescent="0.2">
      <c r="B5" s="1822"/>
      <c r="C5" s="1815"/>
      <c r="D5" s="1816" t="s">
        <v>1043</v>
      </c>
      <c r="E5" s="1610"/>
      <c r="F5" s="1610"/>
      <c r="G5" s="1610"/>
      <c r="H5" s="1415"/>
      <c r="I5" s="1816" t="s">
        <v>1044</v>
      </c>
      <c r="J5" s="1610"/>
      <c r="K5" s="329"/>
      <c r="L5" s="329"/>
      <c r="M5" s="1817"/>
      <c r="N5" s="1818"/>
      <c r="O5" s="1816" t="s">
        <v>1045</v>
      </c>
      <c r="P5" s="329"/>
      <c r="Q5" s="329"/>
      <c r="R5" s="329"/>
      <c r="S5" s="1412"/>
      <c r="T5" s="1816" t="s">
        <v>1046</v>
      </c>
      <c r="U5" s="1829"/>
      <c r="V5" s="1830"/>
      <c r="W5" s="1830"/>
      <c r="X5" s="1830"/>
      <c r="Y5" s="1830"/>
      <c r="Z5" s="1830"/>
      <c r="AA5" s="1831"/>
    </row>
    <row r="6" spans="1:27" s="328" customFormat="1" ht="57.75" customHeight="1" x14ac:dyDescent="0.2">
      <c r="B6" s="1822"/>
      <c r="C6" s="1815"/>
      <c r="D6" s="1816"/>
      <c r="E6" s="1809" t="s">
        <v>1047</v>
      </c>
      <c r="F6" s="1809" t="s">
        <v>1048</v>
      </c>
      <c r="G6" s="1809" t="s">
        <v>1049</v>
      </c>
      <c r="H6" s="1809" t="s">
        <v>1050</v>
      </c>
      <c r="I6" s="1816"/>
      <c r="J6" s="1809" t="s">
        <v>1051</v>
      </c>
      <c r="K6" s="1413"/>
      <c r="L6" s="1414"/>
      <c r="M6" s="1809" t="s">
        <v>1052</v>
      </c>
      <c r="N6" s="1809" t="s">
        <v>1053</v>
      </c>
      <c r="O6" s="1816"/>
      <c r="P6" s="1809" t="s">
        <v>1054</v>
      </c>
      <c r="Q6" s="1809" t="s">
        <v>1055</v>
      </c>
      <c r="R6" s="1809" t="s">
        <v>1056</v>
      </c>
      <c r="S6" s="1809" t="s">
        <v>1057</v>
      </c>
      <c r="T6" s="1816"/>
      <c r="U6" s="1809" t="s">
        <v>1058</v>
      </c>
      <c r="V6" s="1809" t="s">
        <v>1059</v>
      </c>
      <c r="W6" s="1809" t="s">
        <v>1060</v>
      </c>
      <c r="X6" s="1809" t="s">
        <v>1061</v>
      </c>
      <c r="Y6" s="1809" t="s">
        <v>1062</v>
      </c>
      <c r="Z6" s="1809" t="s">
        <v>1063</v>
      </c>
      <c r="AA6" s="1832" t="s">
        <v>1064</v>
      </c>
    </row>
    <row r="7" spans="1:27" s="328" customFormat="1" ht="46.5" customHeight="1" x14ac:dyDescent="0.2">
      <c r="B7" s="1822"/>
      <c r="C7" s="1815"/>
      <c r="D7" s="1816"/>
      <c r="E7" s="1810"/>
      <c r="F7" s="1810"/>
      <c r="G7" s="1810"/>
      <c r="H7" s="1810"/>
      <c r="I7" s="1816"/>
      <c r="J7" s="1810"/>
      <c r="K7" s="1809" t="s">
        <v>1065</v>
      </c>
      <c r="L7" s="1809" t="s">
        <v>1066</v>
      </c>
      <c r="M7" s="1810"/>
      <c r="N7" s="1835"/>
      <c r="O7" s="1816"/>
      <c r="P7" s="1810"/>
      <c r="Q7" s="1810"/>
      <c r="R7" s="1810"/>
      <c r="S7" s="1810"/>
      <c r="T7" s="1816"/>
      <c r="U7" s="1810"/>
      <c r="V7" s="1810"/>
      <c r="W7" s="1810"/>
      <c r="X7" s="1810"/>
      <c r="Y7" s="1810"/>
      <c r="Z7" s="1810"/>
      <c r="AA7" s="1833"/>
    </row>
    <row r="8" spans="1:27" s="328" customFormat="1" ht="134.25" customHeight="1" x14ac:dyDescent="0.2">
      <c r="B8" s="1822"/>
      <c r="C8" s="1815"/>
      <c r="D8" s="1816"/>
      <c r="E8" s="1811"/>
      <c r="F8" s="1811"/>
      <c r="G8" s="1811"/>
      <c r="H8" s="1811"/>
      <c r="I8" s="1816"/>
      <c r="J8" s="1811"/>
      <c r="K8" s="1811"/>
      <c r="L8" s="1811"/>
      <c r="M8" s="1811"/>
      <c r="N8" s="1836"/>
      <c r="O8" s="1816"/>
      <c r="P8" s="1811"/>
      <c r="Q8" s="1811"/>
      <c r="R8" s="1811"/>
      <c r="S8" s="1811"/>
      <c r="T8" s="1816"/>
      <c r="U8" s="1811"/>
      <c r="V8" s="1811"/>
      <c r="W8" s="1811"/>
      <c r="X8" s="1811"/>
      <c r="Y8" s="1811"/>
      <c r="Z8" s="1811"/>
      <c r="AA8" s="1834"/>
    </row>
    <row r="9" spans="1:27" s="327" customFormat="1" ht="15.75" customHeight="1" x14ac:dyDescent="0.2">
      <c r="B9" s="1823"/>
      <c r="C9" s="1626"/>
      <c r="D9" s="1624" t="s">
        <v>1067</v>
      </c>
      <c r="E9" s="1385" t="s">
        <v>1068</v>
      </c>
      <c r="F9" s="1385" t="s">
        <v>1069</v>
      </c>
      <c r="G9" s="1385" t="s">
        <v>1070</v>
      </c>
      <c r="H9" s="1385" t="s">
        <v>1071</v>
      </c>
      <c r="I9" s="1385" t="s">
        <v>1072</v>
      </c>
      <c r="J9" s="1385" t="s">
        <v>1073</v>
      </c>
      <c r="K9" s="1385" t="s">
        <v>1074</v>
      </c>
      <c r="L9" s="1385" t="s">
        <v>1075</v>
      </c>
      <c r="M9" s="1385" t="s">
        <v>1076</v>
      </c>
      <c r="N9" s="1385" t="s">
        <v>1077</v>
      </c>
      <c r="O9" s="1385" t="s">
        <v>1078</v>
      </c>
      <c r="P9" s="1385" t="s">
        <v>1079</v>
      </c>
      <c r="Q9" s="1385" t="s">
        <v>1080</v>
      </c>
      <c r="R9" s="1385" t="s">
        <v>1081</v>
      </c>
      <c r="S9" s="1385" t="s">
        <v>1082</v>
      </c>
      <c r="T9" s="1385" t="s">
        <v>1083</v>
      </c>
      <c r="U9" s="1385" t="s">
        <v>1084</v>
      </c>
      <c r="V9" s="1385" t="s">
        <v>1085</v>
      </c>
      <c r="W9" s="1385" t="s">
        <v>1086</v>
      </c>
      <c r="X9" s="1385" t="s">
        <v>1087</v>
      </c>
      <c r="Y9" s="1385" t="s">
        <v>1088</v>
      </c>
      <c r="Z9" s="1385" t="s">
        <v>1089</v>
      </c>
      <c r="AA9" s="1395" t="s">
        <v>1090</v>
      </c>
    </row>
    <row r="10" spans="1:27" ht="39" customHeight="1" thickBot="1" x14ac:dyDescent="0.25">
      <c r="B10" s="1625" t="s">
        <v>1091</v>
      </c>
      <c r="C10" s="1783" t="s">
        <v>1092</v>
      </c>
      <c r="D10" s="1616"/>
      <c r="E10" s="1617"/>
      <c r="F10" s="1617"/>
      <c r="G10" s="1617"/>
      <c r="H10" s="1618"/>
      <c r="I10" s="1619"/>
      <c r="J10" s="1620"/>
      <c r="K10" s="1620"/>
      <c r="L10" s="1620"/>
      <c r="M10" s="1621"/>
      <c r="N10" s="1619"/>
      <c r="O10" s="1620"/>
      <c r="P10" s="1620"/>
      <c r="Q10" s="1620"/>
      <c r="R10" s="1620"/>
      <c r="S10" s="1621"/>
      <c r="T10" s="1619"/>
      <c r="U10" s="1622"/>
      <c r="V10" s="1622"/>
      <c r="W10" s="1622"/>
      <c r="X10" s="1622"/>
      <c r="Y10" s="1622"/>
      <c r="Z10" s="1622"/>
      <c r="AA10" s="1623"/>
    </row>
  </sheetData>
  <mergeCells count="32">
    <mergeCell ref="Y6:Y8"/>
    <mergeCell ref="Z6:Z8"/>
    <mergeCell ref="T2:AA2"/>
    <mergeCell ref="B4:B9"/>
    <mergeCell ref="D4:S4"/>
    <mergeCell ref="T4:AA4"/>
    <mergeCell ref="U5:AA5"/>
    <mergeCell ref="E6:E8"/>
    <mergeCell ref="F6:F8"/>
    <mergeCell ref="D5:D8"/>
    <mergeCell ref="U6:U8"/>
    <mergeCell ref="T5:T8"/>
    <mergeCell ref="K7:K8"/>
    <mergeCell ref="L7:L8"/>
    <mergeCell ref="AA6:AA8"/>
    <mergeCell ref="N6:N8"/>
    <mergeCell ref="X6:X8"/>
    <mergeCell ref="B2:S2"/>
    <mergeCell ref="V6:V8"/>
    <mergeCell ref="J6:J8"/>
    <mergeCell ref="M6:M8"/>
    <mergeCell ref="P6:P8"/>
    <mergeCell ref="Q6:Q8"/>
    <mergeCell ref="R6:R8"/>
    <mergeCell ref="S6:S8"/>
    <mergeCell ref="W6:W8"/>
    <mergeCell ref="C5:C8"/>
    <mergeCell ref="I5:I8"/>
    <mergeCell ref="M5:N5"/>
    <mergeCell ref="O5:O8"/>
    <mergeCell ref="G6:G8"/>
    <mergeCell ref="H6:H8"/>
  </mergeCells>
  <pageMargins left="0.7" right="0.7" top="0.75" bottom="0.75" header="0.3" footer="0.3"/>
  <pageSetup paperSize="9" scale="42" orientation="landscape" r:id="rId1"/>
  <headerFooter>
    <oddHeader>&amp;CFR
ANNEXE 1</oddHeader>
    <oddFooter>&amp;C&amp;P</oddFooter>
  </headerFooter>
  <colBreaks count="1" manualBreakCount="1">
    <brk id="19"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X11"/>
  <sheetViews>
    <sheetView showGridLines="0" view="pageBreakPreview" zoomScale="40" zoomScaleNormal="80" zoomScaleSheetLayoutView="40" zoomScalePageLayoutView="70" workbookViewId="0">
      <selection activeCell="X8" sqref="X8"/>
    </sheetView>
  </sheetViews>
  <sheetFormatPr defaultColWidth="21.109375" defaultRowHeight="12.6" x14ac:dyDescent="0.2"/>
  <cols>
    <col min="1" max="1" width="1.5546875" style="41" customWidth="1"/>
    <col min="2" max="4" width="12.88671875" style="41" customWidth="1"/>
    <col min="5" max="5" width="15" style="41" customWidth="1"/>
    <col min="6" max="6" width="17.109375" style="41" customWidth="1"/>
    <col min="7" max="7" width="15.33203125" style="41" customWidth="1"/>
    <col min="8" max="9" width="15" style="41" customWidth="1"/>
    <col min="10" max="11" width="18.44140625" style="41" customWidth="1"/>
    <col min="12" max="12" width="17" style="41" customWidth="1"/>
    <col min="13" max="13" width="15.44140625" style="41" customWidth="1"/>
    <col min="14" max="14" width="14.6640625" style="41" customWidth="1"/>
    <col min="15" max="15" width="18.44140625" style="41" customWidth="1"/>
    <col min="16" max="16" width="21.88671875" style="41" customWidth="1"/>
    <col min="17" max="50" width="18.44140625" style="41" customWidth="1"/>
    <col min="51" max="16384" width="21.109375" style="41"/>
  </cols>
  <sheetData>
    <row r="1" spans="1:50" ht="8.25" customHeight="1" thickBot="1" x14ac:dyDescent="0.3">
      <c r="A1" s="39"/>
    </row>
    <row r="2" spans="1:50" s="1518" customFormat="1" ht="28.5" customHeight="1" thickBot="1" x14ac:dyDescent="0.35">
      <c r="B2" s="1820" t="s">
        <v>1093</v>
      </c>
      <c r="C2" s="1820"/>
      <c r="D2" s="1820"/>
      <c r="E2" s="1820"/>
      <c r="F2" s="1820"/>
      <c r="G2" s="1820"/>
      <c r="H2" s="1820"/>
      <c r="I2" s="1820"/>
      <c r="J2" s="1820"/>
      <c r="K2" s="1820"/>
      <c r="L2" s="1820"/>
      <c r="M2" s="1820"/>
      <c r="N2" s="1837" t="s">
        <v>1094</v>
      </c>
      <c r="O2" s="1837"/>
      <c r="P2" s="1837"/>
      <c r="Q2" s="1837"/>
      <c r="R2" s="1837"/>
      <c r="S2" s="1837"/>
      <c r="T2" s="1837"/>
      <c r="U2" s="1837"/>
      <c r="V2" s="1837"/>
      <c r="W2" s="1837"/>
      <c r="X2" s="1837"/>
      <c r="Y2" s="1837"/>
      <c r="Z2" s="1837"/>
      <c r="AA2" s="1812" t="s">
        <v>1095</v>
      </c>
      <c r="AB2" s="1837"/>
      <c r="AC2" s="1837"/>
      <c r="AD2" s="1837"/>
      <c r="AE2" s="1837"/>
      <c r="AF2" s="1837"/>
      <c r="AG2" s="1837"/>
      <c r="AH2" s="1837"/>
      <c r="AI2" s="1837"/>
      <c r="AJ2" s="1837"/>
      <c r="AK2" s="1837"/>
      <c r="AL2" s="1837"/>
      <c r="AM2" s="1837"/>
      <c r="AN2" s="1837"/>
      <c r="AO2" s="1837"/>
      <c r="AP2" s="1837"/>
      <c r="AQ2" s="1820" t="s">
        <v>1096</v>
      </c>
      <c r="AR2" s="1820"/>
      <c r="AS2" s="1820"/>
      <c r="AT2" s="1820"/>
      <c r="AU2" s="1820"/>
      <c r="AV2" s="1820"/>
      <c r="AW2" s="1820"/>
      <c r="AX2" s="1820"/>
    </row>
    <row r="3" spans="1:50" s="331" customFormat="1" ht="9.75" customHeight="1" thickBot="1" x14ac:dyDescent="0.3">
      <c r="B3" s="330"/>
      <c r="C3" s="330"/>
      <c r="D3" s="330"/>
      <c r="E3" s="330"/>
      <c r="F3" s="330"/>
      <c r="G3" s="330"/>
      <c r="H3" s="330"/>
      <c r="I3" s="330"/>
      <c r="J3" s="330"/>
      <c r="K3" s="330"/>
      <c r="L3" s="330"/>
      <c r="M3" s="330"/>
      <c r="N3" s="332"/>
      <c r="O3" s="332"/>
      <c r="P3" s="332"/>
      <c r="Q3" s="332"/>
      <c r="R3" s="332"/>
      <c r="S3" s="332"/>
      <c r="T3" s="332"/>
      <c r="U3" s="332"/>
      <c r="V3" s="332"/>
      <c r="W3" s="332"/>
      <c r="X3" s="332"/>
      <c r="Y3" s="332"/>
      <c r="Z3" s="332"/>
      <c r="AA3" s="330"/>
      <c r="AB3" s="330"/>
      <c r="AC3" s="330"/>
      <c r="AD3" s="330"/>
      <c r="AE3" s="330"/>
      <c r="AF3" s="330"/>
      <c r="AG3" s="330"/>
      <c r="AH3" s="330"/>
      <c r="AI3" s="330"/>
      <c r="AJ3" s="330"/>
      <c r="AK3" s="330"/>
      <c r="AL3" s="330"/>
      <c r="AM3" s="330"/>
      <c r="AN3" s="330"/>
      <c r="AO3" s="330"/>
      <c r="AP3" s="330"/>
      <c r="AQ3" s="330"/>
      <c r="AR3" s="330"/>
      <c r="AS3" s="330"/>
      <c r="AT3" s="330"/>
      <c r="AU3" s="330"/>
      <c r="AV3" s="330"/>
      <c r="AW3" s="330"/>
      <c r="AX3" s="330"/>
    </row>
    <row r="4" spans="1:50" s="328" customFormat="1" ht="21.75" customHeight="1" x14ac:dyDescent="0.2">
      <c r="B4" s="1838" t="s">
        <v>1097</v>
      </c>
      <c r="C4" s="1838"/>
      <c r="D4" s="1838"/>
      <c r="E4" s="1838"/>
      <c r="F4" s="1838"/>
      <c r="G4" s="1838"/>
      <c r="H4" s="1838"/>
      <c r="I4" s="1826" t="s">
        <v>1098</v>
      </c>
      <c r="J4" s="1824"/>
      <c r="K4" s="1824"/>
      <c r="L4" s="1824"/>
      <c r="M4" s="1824"/>
      <c r="N4" s="1824"/>
      <c r="O4" s="1824"/>
      <c r="P4" s="1824"/>
      <c r="Q4" s="1824"/>
      <c r="R4" s="1824"/>
      <c r="S4" s="1824"/>
      <c r="T4" s="1824"/>
      <c r="U4" s="1824"/>
      <c r="V4" s="1824"/>
      <c r="W4" s="1824"/>
      <c r="X4" s="1824"/>
      <c r="Y4" s="1824"/>
      <c r="Z4" s="1825"/>
      <c r="AA4" s="1826" t="s">
        <v>1099</v>
      </c>
      <c r="AB4" s="1824"/>
      <c r="AC4" s="1824"/>
      <c r="AD4" s="1824"/>
      <c r="AE4" s="1824"/>
      <c r="AF4" s="1824"/>
      <c r="AG4" s="1824"/>
      <c r="AH4" s="1824"/>
      <c r="AI4" s="1824"/>
      <c r="AJ4" s="1824"/>
      <c r="AK4" s="1824"/>
      <c r="AL4" s="1824"/>
      <c r="AM4" s="1824"/>
      <c r="AN4" s="1824"/>
      <c r="AO4" s="1824"/>
      <c r="AP4" s="1825"/>
      <c r="AQ4" s="1826" t="s">
        <v>1100</v>
      </c>
      <c r="AR4" s="1824"/>
      <c r="AS4" s="1824"/>
      <c r="AT4" s="1827"/>
      <c r="AU4" s="1827"/>
      <c r="AV4" s="1827"/>
      <c r="AW4" s="1827"/>
      <c r="AX4" s="1828"/>
    </row>
    <row r="5" spans="1:50" s="328" customFormat="1" ht="30" customHeight="1" x14ac:dyDescent="0.2">
      <c r="B5" s="1809" t="s">
        <v>1101</v>
      </c>
      <c r="C5" s="1809" t="s">
        <v>1102</v>
      </c>
      <c r="D5" s="1809" t="s">
        <v>1103</v>
      </c>
      <c r="E5" s="1809" t="s">
        <v>1104</v>
      </c>
      <c r="F5" s="1809" t="s">
        <v>1105</v>
      </c>
      <c r="G5" s="1809" t="s">
        <v>1106</v>
      </c>
      <c r="H5" s="1809" t="s">
        <v>1107</v>
      </c>
      <c r="I5" s="1816" t="s">
        <v>1108</v>
      </c>
      <c r="J5" s="329"/>
      <c r="K5" s="329"/>
      <c r="L5" s="329"/>
      <c r="M5" s="329"/>
      <c r="N5" s="1839" t="s">
        <v>1109</v>
      </c>
      <c r="O5" s="1390"/>
      <c r="P5" s="1390"/>
      <c r="Q5" s="1390"/>
      <c r="R5" s="1390"/>
      <c r="S5" s="1390"/>
      <c r="T5" s="1393"/>
      <c r="U5" s="1390"/>
      <c r="V5" s="1390"/>
      <c r="W5" s="1390"/>
      <c r="X5" s="1390"/>
      <c r="Y5" s="1393"/>
      <c r="Z5" s="1394"/>
      <c r="AA5" s="1816" t="s">
        <v>1110</v>
      </c>
      <c r="AB5" s="1592"/>
      <c r="AC5" s="1592"/>
      <c r="AD5" s="1592"/>
      <c r="AE5" s="1415"/>
      <c r="AF5" s="1816" t="s">
        <v>1111</v>
      </c>
      <c r="AG5" s="1592"/>
      <c r="AH5" s="329"/>
      <c r="AI5" s="329"/>
      <c r="AJ5" s="1817"/>
      <c r="AK5" s="1818"/>
      <c r="AL5" s="1816" t="s">
        <v>1112</v>
      </c>
      <c r="AM5" s="329"/>
      <c r="AN5" s="329"/>
      <c r="AO5" s="329"/>
      <c r="AP5" s="1412"/>
      <c r="AQ5" s="1816" t="s">
        <v>1113</v>
      </c>
      <c r="AR5" s="1829"/>
      <c r="AS5" s="1830"/>
      <c r="AT5" s="1830"/>
      <c r="AU5" s="1830"/>
      <c r="AV5" s="1830"/>
      <c r="AW5" s="1830"/>
      <c r="AX5" s="1831"/>
    </row>
    <row r="6" spans="1:50" s="328" customFormat="1" ht="57.75" customHeight="1" x14ac:dyDescent="0.2">
      <c r="B6" s="1810"/>
      <c r="C6" s="1810"/>
      <c r="D6" s="1810"/>
      <c r="E6" s="1810"/>
      <c r="F6" s="1810"/>
      <c r="G6" s="1810"/>
      <c r="H6" s="1810"/>
      <c r="I6" s="1816"/>
      <c r="J6" s="1809" t="s">
        <v>1114</v>
      </c>
      <c r="K6" s="1809" t="s">
        <v>1115</v>
      </c>
      <c r="L6" s="1809" t="s">
        <v>1116</v>
      </c>
      <c r="M6" s="1839" t="s">
        <v>1117</v>
      </c>
      <c r="N6" s="1840"/>
      <c r="O6" s="1592"/>
      <c r="P6" s="1592"/>
      <c r="Q6" s="1839" t="s">
        <v>1118</v>
      </c>
      <c r="R6" s="1391"/>
      <c r="S6" s="1391"/>
      <c r="T6" s="1391"/>
      <c r="U6" s="1391"/>
      <c r="V6" s="1391"/>
      <c r="W6" s="1391"/>
      <c r="X6" s="1392"/>
      <c r="Y6" s="1839" t="s">
        <v>1119</v>
      </c>
      <c r="Z6" s="1388"/>
      <c r="AA6" s="1816"/>
      <c r="AB6" s="1809" t="s">
        <v>1120</v>
      </c>
      <c r="AC6" s="1809" t="s">
        <v>1121</v>
      </c>
      <c r="AD6" s="1809" t="s">
        <v>1122</v>
      </c>
      <c r="AE6" s="1809" t="s">
        <v>1123</v>
      </c>
      <c r="AF6" s="1816"/>
      <c r="AG6" s="1809" t="s">
        <v>1124</v>
      </c>
      <c r="AH6" s="1413"/>
      <c r="AI6" s="1414"/>
      <c r="AJ6" s="1809" t="s">
        <v>1125</v>
      </c>
      <c r="AK6" s="1809" t="s">
        <v>1126</v>
      </c>
      <c r="AL6" s="1816"/>
      <c r="AM6" s="1809" t="s">
        <v>1127</v>
      </c>
      <c r="AN6" s="1809" t="s">
        <v>1128</v>
      </c>
      <c r="AO6" s="1809" t="s">
        <v>1129</v>
      </c>
      <c r="AP6" s="1809" t="s">
        <v>1130</v>
      </c>
      <c r="AQ6" s="1816"/>
      <c r="AR6" s="1809" t="s">
        <v>1131</v>
      </c>
      <c r="AS6" s="1809" t="s">
        <v>1132</v>
      </c>
      <c r="AT6" s="1809" t="s">
        <v>1133</v>
      </c>
      <c r="AU6" s="1809" t="s">
        <v>1134</v>
      </c>
      <c r="AV6" s="1809" t="s">
        <v>1135</v>
      </c>
      <c r="AW6" s="1809" t="s">
        <v>1136</v>
      </c>
      <c r="AX6" s="1832" t="s">
        <v>1137</v>
      </c>
    </row>
    <row r="7" spans="1:50" s="328" customFormat="1" ht="46.5" customHeight="1" x14ac:dyDescent="0.2">
      <c r="B7" s="1810"/>
      <c r="C7" s="1810"/>
      <c r="D7" s="1810" t="s">
        <v>1138</v>
      </c>
      <c r="E7" s="1810"/>
      <c r="F7" s="1810"/>
      <c r="G7" s="1810"/>
      <c r="H7" s="1810"/>
      <c r="I7" s="1816"/>
      <c r="J7" s="1810"/>
      <c r="K7" s="1810"/>
      <c r="L7" s="1810"/>
      <c r="M7" s="1840"/>
      <c r="N7" s="1840"/>
      <c r="O7" s="1592"/>
      <c r="P7" s="1592"/>
      <c r="Q7" s="1840"/>
      <c r="R7" s="1592"/>
      <c r="S7" s="1592"/>
      <c r="T7" s="1839" t="s">
        <v>1139</v>
      </c>
      <c r="U7" s="1390"/>
      <c r="V7" s="1388"/>
      <c r="W7" s="1839" t="s">
        <v>1140</v>
      </c>
      <c r="X7" s="1388"/>
      <c r="Y7" s="1840"/>
      <c r="Z7" s="1389"/>
      <c r="AA7" s="1816"/>
      <c r="AB7" s="1810"/>
      <c r="AC7" s="1810"/>
      <c r="AD7" s="1810"/>
      <c r="AE7" s="1810"/>
      <c r="AF7" s="1816"/>
      <c r="AG7" s="1810"/>
      <c r="AH7" s="1809" t="s">
        <v>1141</v>
      </c>
      <c r="AI7" s="1809" t="s">
        <v>1142</v>
      </c>
      <c r="AJ7" s="1810"/>
      <c r="AK7" s="1835"/>
      <c r="AL7" s="1816"/>
      <c r="AM7" s="1810"/>
      <c r="AN7" s="1810"/>
      <c r="AO7" s="1810"/>
      <c r="AP7" s="1810"/>
      <c r="AQ7" s="1816"/>
      <c r="AR7" s="1810"/>
      <c r="AS7" s="1810"/>
      <c r="AT7" s="1810"/>
      <c r="AU7" s="1810"/>
      <c r="AV7" s="1810"/>
      <c r="AW7" s="1810"/>
      <c r="AX7" s="1833"/>
    </row>
    <row r="8" spans="1:50" s="328" customFormat="1" ht="134.4" customHeight="1" x14ac:dyDescent="0.2">
      <c r="B8" s="1811"/>
      <c r="C8" s="1811"/>
      <c r="D8" s="1811"/>
      <c r="E8" s="1811"/>
      <c r="F8" s="1811"/>
      <c r="G8" s="1811"/>
      <c r="H8" s="1811"/>
      <c r="I8" s="1816"/>
      <c r="J8" s="1811"/>
      <c r="K8" s="1811"/>
      <c r="L8" s="1811"/>
      <c r="M8" s="1841"/>
      <c r="N8" s="1841"/>
      <c r="O8" s="1387" t="s">
        <v>1143</v>
      </c>
      <c r="P8" s="1638" t="s">
        <v>1144</v>
      </c>
      <c r="Q8" s="1841"/>
      <c r="R8" s="1387" t="s">
        <v>1145</v>
      </c>
      <c r="S8" s="1638" t="s">
        <v>1146</v>
      </c>
      <c r="T8" s="1841"/>
      <c r="U8" s="1387" t="s">
        <v>1147</v>
      </c>
      <c r="V8" s="1387" t="s">
        <v>1148</v>
      </c>
      <c r="W8" s="1841"/>
      <c r="X8" s="1387" t="s">
        <v>1149</v>
      </c>
      <c r="Y8" s="1841"/>
      <c r="Z8" s="1387" t="s">
        <v>1150</v>
      </c>
      <c r="AA8" s="1816"/>
      <c r="AB8" s="1811"/>
      <c r="AC8" s="1811"/>
      <c r="AD8" s="1811"/>
      <c r="AE8" s="1811"/>
      <c r="AF8" s="1816"/>
      <c r="AG8" s="1811"/>
      <c r="AH8" s="1811"/>
      <c r="AI8" s="1811"/>
      <c r="AJ8" s="1811"/>
      <c r="AK8" s="1836"/>
      <c r="AL8" s="1816"/>
      <c r="AM8" s="1811"/>
      <c r="AN8" s="1811"/>
      <c r="AO8" s="1811"/>
      <c r="AP8" s="1811"/>
      <c r="AQ8" s="1816"/>
      <c r="AR8" s="1811"/>
      <c r="AS8" s="1811"/>
      <c r="AT8" s="1811"/>
      <c r="AU8" s="1811"/>
      <c r="AV8" s="1811"/>
      <c r="AW8" s="1811"/>
      <c r="AX8" s="1834"/>
    </row>
    <row r="9" spans="1:50" s="327" customFormat="1" ht="15.75" customHeight="1" x14ac:dyDescent="0.15">
      <c r="B9" s="1385" t="s">
        <v>1151</v>
      </c>
      <c r="C9" s="1385" t="s">
        <v>1152</v>
      </c>
      <c r="D9" s="1385" t="s">
        <v>1153</v>
      </c>
      <c r="E9" s="1385" t="s">
        <v>1154</v>
      </c>
      <c r="F9" s="1385" t="s">
        <v>1155</v>
      </c>
      <c r="G9" s="1385" t="s">
        <v>1156</v>
      </c>
      <c r="H9" s="1386" t="s">
        <v>1157</v>
      </c>
      <c r="I9" s="1385" t="s">
        <v>1158</v>
      </c>
      <c r="J9" s="1385" t="s">
        <v>1159</v>
      </c>
      <c r="K9" s="1385" t="s">
        <v>1160</v>
      </c>
      <c r="L9" s="1385" t="s">
        <v>1161</v>
      </c>
      <c r="M9" s="1385" t="s">
        <v>1162</v>
      </c>
      <c r="N9" s="1385" t="s">
        <v>1163</v>
      </c>
      <c r="O9" s="1385" t="s">
        <v>1164</v>
      </c>
      <c r="P9" s="1385" t="s">
        <v>1165</v>
      </c>
      <c r="Q9" s="1385" t="s">
        <v>1166</v>
      </c>
      <c r="R9" s="1385" t="s">
        <v>1167</v>
      </c>
      <c r="S9" s="1385" t="s">
        <v>1168</v>
      </c>
      <c r="T9" s="1385" t="s">
        <v>1169</v>
      </c>
      <c r="U9" s="1385" t="s">
        <v>1170</v>
      </c>
      <c r="V9" s="1385" t="s">
        <v>1171</v>
      </c>
      <c r="W9" s="1385" t="s">
        <v>1172</v>
      </c>
      <c r="X9" s="1385" t="s">
        <v>1173</v>
      </c>
      <c r="Y9" s="1385" t="s">
        <v>1174</v>
      </c>
      <c r="Z9" s="1385" t="s">
        <v>1175</v>
      </c>
      <c r="AA9" s="1385" t="s">
        <v>1176</v>
      </c>
      <c r="AB9" s="1385" t="s">
        <v>1177</v>
      </c>
      <c r="AC9" s="1385" t="s">
        <v>1178</v>
      </c>
      <c r="AD9" s="1385" t="s">
        <v>1179</v>
      </c>
      <c r="AE9" s="1385" t="s">
        <v>1180</v>
      </c>
      <c r="AF9" s="1385" t="s">
        <v>1181</v>
      </c>
      <c r="AG9" s="1385" t="s">
        <v>1182</v>
      </c>
      <c r="AH9" s="1385" t="s">
        <v>1183</v>
      </c>
      <c r="AI9" s="1385" t="s">
        <v>1184</v>
      </c>
      <c r="AJ9" s="1385" t="s">
        <v>1185</v>
      </c>
      <c r="AK9" s="1385" t="s">
        <v>1186</v>
      </c>
      <c r="AL9" s="1385" t="s">
        <v>1187</v>
      </c>
      <c r="AM9" s="1385" t="s">
        <v>1188</v>
      </c>
      <c r="AN9" s="1385" t="s">
        <v>1189</v>
      </c>
      <c r="AO9" s="1385" t="s">
        <v>1190</v>
      </c>
      <c r="AP9" s="1385" t="s">
        <v>1191</v>
      </c>
      <c r="AQ9" s="1385" t="s">
        <v>1192</v>
      </c>
      <c r="AR9" s="1385" t="s">
        <v>1193</v>
      </c>
      <c r="AS9" s="1385" t="s">
        <v>1194</v>
      </c>
      <c r="AT9" s="1385" t="s">
        <v>1195</v>
      </c>
      <c r="AU9" s="1385" t="s">
        <v>1196</v>
      </c>
      <c r="AV9" s="1385" t="s">
        <v>1197</v>
      </c>
      <c r="AW9" s="1385" t="s">
        <v>1198</v>
      </c>
      <c r="AX9" s="1395" t="s">
        <v>1199</v>
      </c>
    </row>
    <row r="10" spans="1:50" ht="39" customHeight="1" thickBot="1" x14ac:dyDescent="0.25">
      <c r="B10" s="1396"/>
      <c r="C10" s="1397"/>
      <c r="D10" s="1397"/>
      <c r="E10" s="1397"/>
      <c r="F10" s="1397"/>
      <c r="G10" s="1398"/>
      <c r="H10" s="1399"/>
      <c r="I10" s="1400"/>
      <c r="J10" s="1401"/>
      <c r="K10" s="1401"/>
      <c r="L10" s="1401"/>
      <c r="M10" s="1402"/>
      <c r="N10" s="1403"/>
      <c r="O10" s="1401"/>
      <c r="P10" s="1401"/>
      <c r="Q10" s="1401"/>
      <c r="R10" s="1401"/>
      <c r="S10" s="1401"/>
      <c r="T10" s="1401"/>
      <c r="U10" s="1401"/>
      <c r="V10" s="1401"/>
      <c r="W10" s="1401"/>
      <c r="X10" s="1401"/>
      <c r="Y10" s="1401"/>
      <c r="Z10" s="1402"/>
      <c r="AA10" s="1403"/>
      <c r="AB10" s="1401"/>
      <c r="AC10" s="1401"/>
      <c r="AD10" s="1401"/>
      <c r="AE10" s="1402"/>
      <c r="AF10" s="1403"/>
      <c r="AG10" s="1401"/>
      <c r="AH10" s="1401"/>
      <c r="AI10" s="1404"/>
      <c r="AJ10" s="1405"/>
      <c r="AK10" s="1408"/>
      <c r="AL10" s="1406"/>
      <c r="AM10" s="1406"/>
      <c r="AN10" s="1406"/>
      <c r="AO10" s="1406"/>
      <c r="AP10" s="1407"/>
      <c r="AQ10" s="1409"/>
      <c r="AR10" s="1410"/>
      <c r="AS10" s="1410"/>
      <c r="AT10" s="1410"/>
      <c r="AU10" s="1410"/>
      <c r="AV10" s="1410"/>
      <c r="AW10" s="1410"/>
      <c r="AX10" s="1411"/>
    </row>
    <row r="11" spans="1:50" ht="105.75" customHeight="1" x14ac:dyDescent="0.2">
      <c r="B11" s="44"/>
      <c r="C11" s="44"/>
      <c r="D11" s="44"/>
      <c r="E11" s="44"/>
      <c r="F11" s="44"/>
      <c r="G11" s="45"/>
      <c r="H11" s="45"/>
      <c r="I11" s="45"/>
      <c r="J11" s="1517"/>
      <c r="K11" s="43"/>
      <c r="L11" s="43"/>
      <c r="M11" s="43"/>
      <c r="N11" s="43"/>
      <c r="O11" s="43"/>
      <c r="P11" s="43"/>
      <c r="Q11" s="43"/>
      <c r="R11" s="43"/>
      <c r="S11" s="43"/>
      <c r="T11" s="43"/>
      <c r="U11" s="43"/>
      <c r="V11" s="43"/>
      <c r="W11" s="43"/>
      <c r="X11" s="43"/>
      <c r="Y11" s="43"/>
      <c r="Z11" s="46"/>
      <c r="AA11" s="46"/>
      <c r="AB11" s="45"/>
      <c r="AC11" s="45"/>
      <c r="AD11" s="43"/>
      <c r="AE11" s="43"/>
      <c r="AF11" s="43"/>
      <c r="AG11" s="43"/>
      <c r="AH11" s="43"/>
      <c r="AI11" s="43"/>
      <c r="AJ11" s="43"/>
      <c r="AK11" s="43"/>
      <c r="AL11" s="43"/>
      <c r="AM11" s="43"/>
      <c r="AN11" s="43"/>
      <c r="AO11" s="43"/>
      <c r="AP11" s="43"/>
      <c r="AQ11" s="43"/>
      <c r="AR11" s="43"/>
      <c r="AS11" s="43"/>
      <c r="AT11" s="43"/>
      <c r="AU11" s="43"/>
      <c r="AV11" s="43"/>
      <c r="AW11" s="43"/>
      <c r="AX11" s="43"/>
    </row>
  </sheetData>
  <mergeCells count="51">
    <mergeCell ref="AS6:AS8"/>
    <mergeCell ref="AT6:AT8"/>
    <mergeCell ref="AQ5:AQ8"/>
    <mergeCell ref="AR5:AX5"/>
    <mergeCell ref="AU6:AU8"/>
    <mergeCell ref="AV6:AV8"/>
    <mergeCell ref="AW6:AW8"/>
    <mergeCell ref="AX6:AX8"/>
    <mergeCell ref="AM6:AM8"/>
    <mergeCell ref="AN6:AN8"/>
    <mergeCell ref="AO6:AO8"/>
    <mergeCell ref="AP6:AP8"/>
    <mergeCell ref="AR6:AR8"/>
    <mergeCell ref="Y6:Y8"/>
    <mergeCell ref="T7:T8"/>
    <mergeCell ref="W7:W8"/>
    <mergeCell ref="N5:N8"/>
    <mergeCell ref="AK6:AK8"/>
    <mergeCell ref="AH7:AH8"/>
    <mergeCell ref="AI7:AI8"/>
    <mergeCell ref="AA5:AA8"/>
    <mergeCell ref="AF5:AF8"/>
    <mergeCell ref="AJ5:AK5"/>
    <mergeCell ref="AB6:AB8"/>
    <mergeCell ref="AC6:AC8"/>
    <mergeCell ref="J6:J8"/>
    <mergeCell ref="K6:K8"/>
    <mergeCell ref="L6:L8"/>
    <mergeCell ref="M6:M8"/>
    <mergeCell ref="Q6:Q8"/>
    <mergeCell ref="AL5:AL8"/>
    <mergeCell ref="AD6:AD8"/>
    <mergeCell ref="AE6:AE8"/>
    <mergeCell ref="AG6:AG8"/>
    <mergeCell ref="AJ6:AJ8"/>
    <mergeCell ref="B5:B8"/>
    <mergeCell ref="B2:M2"/>
    <mergeCell ref="N2:Z2"/>
    <mergeCell ref="AA2:AP2"/>
    <mergeCell ref="AQ2:AX2"/>
    <mergeCell ref="B4:H4"/>
    <mergeCell ref="I4:Z4"/>
    <mergeCell ref="AA4:AP4"/>
    <mergeCell ref="AQ4:AX4"/>
    <mergeCell ref="C5:C8"/>
    <mergeCell ref="D5:D8"/>
    <mergeCell ref="E5:E8"/>
    <mergeCell ref="F5:F8"/>
    <mergeCell ref="G5:G8"/>
    <mergeCell ref="H5:H8"/>
    <mergeCell ref="I5:I8"/>
  </mergeCells>
  <printOptions horizontalCentered="1" verticalCentered="1"/>
  <pageMargins left="0.19685039370078741" right="0.15748031496062992" top="0.74803149606299213" bottom="0.74803149606299213" header="0.31496062992125984" footer="0.31496062992125984"/>
  <pageSetup paperSize="9" scale="46" fitToWidth="3" pageOrder="overThenDown" orientation="landscape" r:id="rId1"/>
  <headerFooter>
    <oddHeader>&amp;CFR
ANNEXE I</oddHeader>
    <oddFooter>&amp;C&amp;P</oddFooter>
  </headerFooter>
  <colBreaks count="3" manualBreakCount="3">
    <brk id="13" max="1048575" man="1"/>
    <brk id="26" max="1048575" man="1"/>
    <brk id="42" min="1" max="9"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A50"/>
  <sheetViews>
    <sheetView showGridLines="0" topLeftCell="B28" zoomScale="85" zoomScaleNormal="85" zoomScaleSheetLayoutView="70" zoomScalePageLayoutView="40" workbookViewId="0">
      <selection activeCell="B27" sqref="B27:C27"/>
    </sheetView>
  </sheetViews>
  <sheetFormatPr defaultColWidth="11.44140625" defaultRowHeight="13.8" x14ac:dyDescent="0.25"/>
  <cols>
    <col min="1" max="1" width="2.109375" style="1593" customWidth="1"/>
    <col min="2" max="2" width="8.5546875" style="1593" customWidth="1"/>
    <col min="3" max="3" width="82.88671875" style="1593" customWidth="1"/>
    <col min="4" max="4" width="17.5546875" style="1593" customWidth="1"/>
    <col min="5" max="5" width="19.33203125" style="1593" customWidth="1"/>
    <col min="6" max="6" width="18.5546875" style="1593" customWidth="1"/>
    <col min="7" max="14" width="19.88671875" style="1593" customWidth="1"/>
    <col min="15" max="15" width="12.33203125" style="1593" customWidth="1"/>
    <col min="16" max="16" width="19.88671875" style="1593" customWidth="1"/>
    <col min="17" max="17" width="13.33203125" style="1593" customWidth="1"/>
    <col min="18" max="21" width="10.109375" style="1593" customWidth="1"/>
    <col min="22" max="22" width="14.6640625" style="1593" customWidth="1"/>
    <col min="23" max="23" width="18.6640625" style="1593" customWidth="1"/>
    <col min="24" max="25" width="19.88671875" style="1593" customWidth="1"/>
    <col min="26" max="27" width="16.6640625" style="1593" customWidth="1"/>
    <col min="28" max="16384" width="11.44140625" style="1593"/>
  </cols>
  <sheetData>
    <row r="1" spans="1:27" ht="24.75" customHeight="1" thickBot="1" x14ac:dyDescent="0.25"/>
    <row r="2" spans="1:27" s="1594" customFormat="1" ht="59.25" customHeight="1" thickBot="1" x14ac:dyDescent="0.35">
      <c r="B2" s="1860" t="s">
        <v>1200</v>
      </c>
      <c r="C2" s="1861"/>
      <c r="D2" s="1861"/>
      <c r="E2" s="1861"/>
      <c r="F2" s="1861"/>
      <c r="G2" s="1861"/>
      <c r="H2" s="1861"/>
      <c r="I2" s="1861"/>
      <c r="J2" s="1861"/>
      <c r="K2" s="1861"/>
      <c r="L2" s="1861"/>
      <c r="M2" s="1862"/>
      <c r="N2" s="1842" t="s">
        <v>1201</v>
      </c>
      <c r="O2" s="1842"/>
      <c r="P2" s="1842"/>
      <c r="Q2" s="1842"/>
      <c r="R2" s="1842"/>
      <c r="S2" s="1842"/>
      <c r="T2" s="1842"/>
      <c r="U2" s="1842"/>
      <c r="V2" s="1842"/>
      <c r="W2" s="1842"/>
      <c r="X2" s="1842"/>
      <c r="Y2" s="1842"/>
      <c r="Z2" s="1842"/>
      <c r="AA2" s="1843"/>
    </row>
    <row r="3" spans="1:27" ht="9.75" customHeight="1" x14ac:dyDescent="0.2">
      <c r="C3" s="47"/>
      <c r="D3" s="48"/>
      <c r="E3" s="49"/>
      <c r="F3" s="50"/>
      <c r="G3" s="50"/>
      <c r="H3" s="50"/>
      <c r="I3" s="50"/>
      <c r="J3" s="51"/>
      <c r="K3" s="52"/>
      <c r="L3" s="51"/>
      <c r="M3" s="51"/>
      <c r="N3" s="51"/>
      <c r="O3" s="51"/>
      <c r="P3" s="51"/>
      <c r="Q3" s="51"/>
      <c r="R3" s="51"/>
      <c r="S3" s="53"/>
      <c r="T3" s="53"/>
      <c r="U3" s="54"/>
      <c r="V3" s="54"/>
      <c r="W3" s="55"/>
      <c r="X3" s="55"/>
      <c r="Y3" s="55"/>
      <c r="Z3" s="55"/>
      <c r="AA3" s="55"/>
    </row>
    <row r="4" spans="1:27" ht="25.5" customHeight="1" x14ac:dyDescent="0.25">
      <c r="C4" s="1266" t="s">
        <v>1202</v>
      </c>
      <c r="D4" s="1858"/>
      <c r="E4" s="1859"/>
      <c r="F4" s="50"/>
      <c r="G4" s="50"/>
      <c r="H4" s="50"/>
      <c r="I4" s="50"/>
      <c r="J4" s="51"/>
      <c r="K4" s="52"/>
      <c r="L4" s="51"/>
      <c r="M4" s="51"/>
      <c r="N4" s="51"/>
      <c r="O4" s="51"/>
      <c r="P4" s="1588"/>
      <c r="Q4" s="51"/>
      <c r="R4" s="51"/>
      <c r="S4" s="53"/>
      <c r="T4" s="53"/>
      <c r="U4" s="54"/>
      <c r="V4" s="54"/>
      <c r="W4" s="55"/>
      <c r="X4" s="55"/>
      <c r="Y4" s="55"/>
      <c r="Z4" s="55"/>
      <c r="AA4" s="55"/>
    </row>
    <row r="5" spans="1:27" ht="7.5" customHeight="1" thickBot="1" x14ac:dyDescent="0.45">
      <c r="C5" s="59"/>
      <c r="D5" s="60"/>
      <c r="E5" s="60"/>
      <c r="F5" s="60"/>
      <c r="G5" s="61"/>
      <c r="H5" s="56"/>
      <c r="I5" s="62"/>
      <c r="J5" s="62"/>
      <c r="K5" s="62"/>
      <c r="L5" s="57"/>
      <c r="M5" s="57"/>
      <c r="N5" s="57"/>
      <c r="O5" s="57"/>
      <c r="P5" s="57"/>
      <c r="Q5" s="57"/>
      <c r="R5" s="57"/>
      <c r="S5" s="58"/>
      <c r="T5" s="58"/>
      <c r="U5" s="58"/>
      <c r="V5" s="58"/>
      <c r="W5" s="58"/>
      <c r="X5" s="58"/>
      <c r="Y5" s="58"/>
      <c r="Z5" s="58"/>
      <c r="AA5" s="58"/>
    </row>
    <row r="6" spans="1:27" s="1595" customFormat="1" ht="71.25" customHeight="1" x14ac:dyDescent="0.25">
      <c r="B6" s="1596"/>
      <c r="C6" s="335"/>
      <c r="D6" s="1863" t="s">
        <v>1203</v>
      </c>
      <c r="E6" s="1869" t="s">
        <v>1204</v>
      </c>
      <c r="F6" s="1869" t="s">
        <v>1205</v>
      </c>
      <c r="G6" s="1874" t="s">
        <v>1206</v>
      </c>
      <c r="H6" s="1875"/>
      <c r="I6" s="1875"/>
      <c r="J6" s="1875"/>
      <c r="K6" s="1875"/>
      <c r="L6" s="1876"/>
      <c r="M6" s="1869" t="s">
        <v>1207</v>
      </c>
      <c r="N6" s="1877" t="s">
        <v>1208</v>
      </c>
      <c r="O6" s="1878"/>
      <c r="P6" s="1879"/>
      <c r="Q6" s="1849" t="s">
        <v>1209</v>
      </c>
      <c r="R6" s="1849" t="s">
        <v>1210</v>
      </c>
      <c r="S6" s="1850"/>
      <c r="T6" s="1850"/>
      <c r="U6" s="1851"/>
      <c r="V6" s="1852" t="s">
        <v>1211</v>
      </c>
      <c r="W6" s="336"/>
      <c r="X6" s="1854" t="s">
        <v>1212</v>
      </c>
      <c r="Y6" s="1854" t="s">
        <v>1213</v>
      </c>
      <c r="Z6" s="337"/>
      <c r="AA6" s="338"/>
    </row>
    <row r="7" spans="1:27" s="1595" customFormat="1" ht="49.5" customHeight="1" x14ac:dyDescent="0.25">
      <c r="B7" s="1597"/>
      <c r="C7" s="339"/>
      <c r="D7" s="1847"/>
      <c r="E7" s="1870"/>
      <c r="F7" s="1872"/>
      <c r="G7" s="1885" t="s">
        <v>1214</v>
      </c>
      <c r="H7" s="1886"/>
      <c r="I7" s="1885" t="s">
        <v>1215</v>
      </c>
      <c r="J7" s="1895"/>
      <c r="K7" s="1885" t="s">
        <v>1216</v>
      </c>
      <c r="L7" s="1895"/>
      <c r="M7" s="1870"/>
      <c r="N7" s="1883" t="s">
        <v>1217</v>
      </c>
      <c r="O7" s="1880" t="s">
        <v>1218</v>
      </c>
      <c r="P7" s="1881"/>
      <c r="Q7" s="1855"/>
      <c r="R7" s="1844">
        <v>0</v>
      </c>
      <c r="S7" s="1844">
        <v>0.2</v>
      </c>
      <c r="T7" s="1844">
        <v>0.5</v>
      </c>
      <c r="U7" s="1844">
        <v>1</v>
      </c>
      <c r="V7" s="1853"/>
      <c r="W7" s="1846" t="s">
        <v>1219</v>
      </c>
      <c r="X7" s="1847"/>
      <c r="Y7" s="1847"/>
      <c r="Z7" s="1846" t="s">
        <v>1220</v>
      </c>
      <c r="AA7" s="1890" t="s">
        <v>1221</v>
      </c>
    </row>
    <row r="8" spans="1:27" s="1595" customFormat="1" ht="36" customHeight="1" x14ac:dyDescent="0.25">
      <c r="B8" s="1597"/>
      <c r="C8" s="339"/>
      <c r="D8" s="1847"/>
      <c r="E8" s="1870"/>
      <c r="F8" s="1872"/>
      <c r="G8" s="1893" t="s">
        <v>1222</v>
      </c>
      <c r="H8" s="1893" t="s">
        <v>1223</v>
      </c>
      <c r="I8" s="1882" t="s">
        <v>1224</v>
      </c>
      <c r="J8" s="1882" t="s">
        <v>1225</v>
      </c>
      <c r="K8" s="1882" t="s">
        <v>1226</v>
      </c>
      <c r="L8" s="1882" t="s">
        <v>1227</v>
      </c>
      <c r="M8" s="1870"/>
      <c r="N8" s="1884"/>
      <c r="O8" s="1519"/>
      <c r="P8" s="1883" t="s">
        <v>1228</v>
      </c>
      <c r="Q8" s="1856"/>
      <c r="R8" s="1845"/>
      <c r="S8" s="1845"/>
      <c r="T8" s="1845"/>
      <c r="U8" s="1845"/>
      <c r="V8" s="1853"/>
      <c r="W8" s="1847"/>
      <c r="X8" s="1847"/>
      <c r="Y8" s="1847"/>
      <c r="Z8" s="1847"/>
      <c r="AA8" s="1891"/>
    </row>
    <row r="9" spans="1:27" s="1595" customFormat="1" ht="48" customHeight="1" x14ac:dyDescent="0.25">
      <c r="B9" s="1597"/>
      <c r="C9" s="339"/>
      <c r="D9" s="1848"/>
      <c r="E9" s="1871"/>
      <c r="F9" s="1873"/>
      <c r="G9" s="1894"/>
      <c r="H9" s="1894"/>
      <c r="I9" s="1870"/>
      <c r="J9" s="1870"/>
      <c r="K9" s="1871"/>
      <c r="L9" s="1871"/>
      <c r="M9" s="1870"/>
      <c r="N9" s="1896"/>
      <c r="O9" s="1520"/>
      <c r="P9" s="1884"/>
      <c r="Q9" s="1846"/>
      <c r="R9" s="1857"/>
      <c r="S9" s="1845"/>
      <c r="T9" s="1845"/>
      <c r="U9" s="1845"/>
      <c r="V9" s="1853"/>
      <c r="W9" s="1848" t="s">
        <v>1229</v>
      </c>
      <c r="X9" s="1848"/>
      <c r="Y9" s="1848"/>
      <c r="Z9" s="1848"/>
      <c r="AA9" s="1892"/>
    </row>
    <row r="10" spans="1:27" s="1598" customFormat="1" ht="27.75" customHeight="1" x14ac:dyDescent="0.15">
      <c r="B10" s="1599"/>
      <c r="C10" s="1366"/>
      <c r="D10" s="1367" t="s">
        <v>1230</v>
      </c>
      <c r="E10" s="1368" t="s">
        <v>1231</v>
      </c>
      <c r="F10" s="1368" t="s">
        <v>1232</v>
      </c>
      <c r="G10" s="1368" t="s">
        <v>1233</v>
      </c>
      <c r="H10" s="1368" t="s">
        <v>1234</v>
      </c>
      <c r="I10" s="1368" t="s">
        <v>1235</v>
      </c>
      <c r="J10" s="1368" t="s">
        <v>1236</v>
      </c>
      <c r="K10" s="1368" t="s">
        <v>1237</v>
      </c>
      <c r="L10" s="1368" t="s">
        <v>1238</v>
      </c>
      <c r="M10" s="1368" t="s">
        <v>1239</v>
      </c>
      <c r="N10" s="1369" t="s">
        <v>1240</v>
      </c>
      <c r="O10" s="1369" t="s">
        <v>1241</v>
      </c>
      <c r="P10" s="1369" t="s">
        <v>1242</v>
      </c>
      <c r="Q10" s="1370" t="s">
        <v>1243</v>
      </c>
      <c r="R10" s="1370" t="s">
        <v>1244</v>
      </c>
      <c r="S10" s="1370" t="s">
        <v>1245</v>
      </c>
      <c r="T10" s="1370" t="s">
        <v>1246</v>
      </c>
      <c r="U10" s="1370" t="s">
        <v>1247</v>
      </c>
      <c r="V10" s="1370" t="s">
        <v>1248</v>
      </c>
      <c r="W10" s="1371" t="s">
        <v>1249</v>
      </c>
      <c r="X10" s="1371">
        <v>215</v>
      </c>
      <c r="Y10" s="1372">
        <v>220</v>
      </c>
      <c r="Z10" s="1373" t="s">
        <v>1250</v>
      </c>
      <c r="AA10" s="1383" t="s">
        <v>1251</v>
      </c>
    </row>
    <row r="11" spans="1:27" ht="24" customHeight="1" x14ac:dyDescent="0.25">
      <c r="A11" s="1600"/>
      <c r="B11" s="340" t="s">
        <v>1252</v>
      </c>
      <c r="C11" s="333" t="s">
        <v>1253</v>
      </c>
      <c r="D11" s="1358"/>
      <c r="E11" s="1359"/>
      <c r="F11" s="1359"/>
      <c r="G11" s="1360"/>
      <c r="H11" s="1360"/>
      <c r="I11" s="1360"/>
      <c r="J11" s="1360"/>
      <c r="K11" s="1360"/>
      <c r="L11" s="1360"/>
      <c r="M11" s="1360"/>
      <c r="N11" s="1359"/>
      <c r="O11" s="1360"/>
      <c r="P11" s="1359"/>
      <c r="Q11" s="1361"/>
      <c r="R11" s="1361"/>
      <c r="S11" s="1361"/>
      <c r="T11" s="1361"/>
      <c r="U11" s="1361"/>
      <c r="V11" s="1362"/>
      <c r="W11" s="1363"/>
      <c r="X11" s="1364"/>
      <c r="Y11" s="1363" t="s">
        <v>1254</v>
      </c>
      <c r="Z11" s="1363"/>
      <c r="AA11" s="1365"/>
    </row>
    <row r="12" spans="1:27" ht="24" customHeight="1" x14ac:dyDescent="0.25">
      <c r="A12" s="1600"/>
      <c r="B12" s="341" t="s">
        <v>1255</v>
      </c>
      <c r="C12" s="334" t="s">
        <v>1256</v>
      </c>
      <c r="D12" s="1358"/>
      <c r="E12" s="1359"/>
      <c r="F12" s="1359"/>
      <c r="G12" s="1360"/>
      <c r="H12" s="1360"/>
      <c r="I12" s="1360"/>
      <c r="J12" s="1360"/>
      <c r="K12" s="1360"/>
      <c r="L12" s="1360"/>
      <c r="M12" s="1360"/>
      <c r="N12" s="1359"/>
      <c r="O12" s="1360"/>
      <c r="P12" s="1359"/>
      <c r="Q12" s="1361"/>
      <c r="R12" s="1361"/>
      <c r="S12" s="1361"/>
      <c r="T12" s="1361"/>
      <c r="U12" s="1361"/>
      <c r="V12" s="1362"/>
      <c r="W12" s="1363"/>
      <c r="X12" s="1364"/>
      <c r="Y12" s="1363"/>
      <c r="Z12" s="1273"/>
      <c r="AA12" s="1274"/>
    </row>
    <row r="13" spans="1:27" s="1602" customFormat="1" ht="21" customHeight="1" x14ac:dyDescent="0.2">
      <c r="A13" s="1601"/>
      <c r="B13" s="341" t="s">
        <v>1257</v>
      </c>
      <c r="C13" s="334" t="s">
        <v>1258</v>
      </c>
      <c r="D13" s="1267"/>
      <c r="E13" s="1269"/>
      <c r="F13" s="1269"/>
      <c r="G13" s="1269"/>
      <c r="H13" s="1269"/>
      <c r="I13" s="1269"/>
      <c r="J13" s="1269"/>
      <c r="K13" s="1269"/>
      <c r="L13" s="1269"/>
      <c r="M13" s="1269"/>
      <c r="N13" s="1269"/>
      <c r="O13" s="1269"/>
      <c r="P13" s="1269"/>
      <c r="Q13" s="1270"/>
      <c r="R13" s="1270"/>
      <c r="S13" s="1270"/>
      <c r="T13" s="1270"/>
      <c r="U13" s="1270"/>
      <c r="V13" s="1271"/>
      <c r="W13" s="1271"/>
      <c r="X13" s="1272"/>
      <c r="Y13" s="1271"/>
      <c r="Z13" s="1273"/>
      <c r="AA13" s="1274"/>
    </row>
    <row r="14" spans="1:27" s="1602" customFormat="1" ht="35.25" customHeight="1" x14ac:dyDescent="0.25">
      <c r="A14" s="1601"/>
      <c r="B14" s="342" t="s">
        <v>1259</v>
      </c>
      <c r="C14" s="334" t="s">
        <v>1260</v>
      </c>
      <c r="D14" s="1275"/>
      <c r="E14" s="1276"/>
      <c r="F14" s="1276"/>
      <c r="G14" s="1276"/>
      <c r="H14" s="1276"/>
      <c r="I14" s="1276"/>
      <c r="J14" s="1276"/>
      <c r="K14" s="1276"/>
      <c r="L14" s="1276"/>
      <c r="M14" s="1276"/>
      <c r="N14" s="1276"/>
      <c r="O14" s="1276"/>
      <c r="P14" s="1276"/>
      <c r="Q14" s="1277"/>
      <c r="R14" s="1277"/>
      <c r="S14" s="1277"/>
      <c r="T14" s="1277"/>
      <c r="U14" s="1277"/>
      <c r="V14" s="1272"/>
      <c r="W14" s="1272"/>
      <c r="X14" s="1272"/>
      <c r="Y14" s="1272"/>
      <c r="Z14" s="1273"/>
      <c r="AA14" s="1274"/>
    </row>
    <row r="15" spans="1:27" s="1602" customFormat="1" ht="36" customHeight="1" x14ac:dyDescent="0.25">
      <c r="A15" s="1601"/>
      <c r="B15" s="341" t="s">
        <v>1261</v>
      </c>
      <c r="C15" s="334" t="s">
        <v>1262</v>
      </c>
      <c r="D15" s="1267"/>
      <c r="E15" s="1269"/>
      <c r="F15" s="1269"/>
      <c r="G15" s="1269"/>
      <c r="H15" s="1269"/>
      <c r="I15" s="1269"/>
      <c r="J15" s="1521"/>
      <c r="K15" s="1269"/>
      <c r="L15" s="1269"/>
      <c r="M15" s="1269"/>
      <c r="N15" s="1269"/>
      <c r="O15" s="1269"/>
      <c r="P15" s="1269"/>
      <c r="Q15" s="1270"/>
      <c r="R15" s="1270"/>
      <c r="S15" s="1270"/>
      <c r="T15" s="1270"/>
      <c r="U15" s="1270"/>
      <c r="V15" s="1271"/>
      <c r="W15" s="1271"/>
      <c r="X15" s="1272"/>
      <c r="Y15" s="1271"/>
      <c r="Z15" s="1273"/>
      <c r="AA15" s="1274"/>
    </row>
    <row r="16" spans="1:27" ht="36" customHeight="1" x14ac:dyDescent="0.2">
      <c r="A16" s="1600"/>
      <c r="B16" s="341" t="s">
        <v>1263</v>
      </c>
      <c r="C16" s="334" t="s">
        <v>1264</v>
      </c>
      <c r="D16" s="1278"/>
      <c r="E16" s="1269"/>
      <c r="F16" s="1269"/>
      <c r="G16" s="1269"/>
      <c r="H16" s="1269"/>
      <c r="I16" s="1269"/>
      <c r="J16" s="1269"/>
      <c r="K16" s="1269"/>
      <c r="L16" s="1269"/>
      <c r="M16" s="1269"/>
      <c r="N16" s="1269"/>
      <c r="O16" s="1269"/>
      <c r="P16" s="1269"/>
      <c r="Q16" s="1270"/>
      <c r="R16" s="1270"/>
      <c r="S16" s="1270"/>
      <c r="T16" s="1270"/>
      <c r="U16" s="1270"/>
      <c r="V16" s="1271"/>
      <c r="W16" s="1271"/>
      <c r="X16" s="1272"/>
      <c r="Y16" s="1271"/>
      <c r="Z16" s="1273"/>
      <c r="AA16" s="1274"/>
    </row>
    <row r="17" spans="1:27" ht="35.25" customHeight="1" x14ac:dyDescent="0.25">
      <c r="A17" s="1600"/>
      <c r="B17" s="341" t="s">
        <v>1265</v>
      </c>
      <c r="C17" s="334" t="s">
        <v>1266</v>
      </c>
      <c r="D17" s="1279"/>
      <c r="E17" s="1281"/>
      <c r="F17" s="1281"/>
      <c r="G17" s="1281"/>
      <c r="H17" s="1281"/>
      <c r="I17" s="1281"/>
      <c r="J17" s="1281"/>
      <c r="K17" s="1281"/>
      <c r="L17" s="1281"/>
      <c r="M17" s="1281"/>
      <c r="N17" s="1281"/>
      <c r="O17" s="1281"/>
      <c r="P17" s="1281"/>
      <c r="Q17" s="1282"/>
      <c r="R17" s="1282"/>
      <c r="S17" s="1282"/>
      <c r="T17" s="1282"/>
      <c r="U17" s="1282"/>
      <c r="V17" s="1283"/>
      <c r="W17" s="1283"/>
      <c r="X17" s="1284"/>
      <c r="Y17" s="1283"/>
      <c r="Z17" s="1285"/>
      <c r="AA17" s="1286"/>
    </row>
    <row r="18" spans="1:27" ht="24" customHeight="1" x14ac:dyDescent="0.25">
      <c r="A18" s="1600"/>
      <c r="B18" s="1864" t="s">
        <v>1267</v>
      </c>
      <c r="C18" s="1865"/>
      <c r="D18" s="1865"/>
      <c r="E18" s="1865"/>
      <c r="F18" s="1865"/>
      <c r="G18" s="1865"/>
      <c r="H18" s="1865"/>
      <c r="I18" s="1865"/>
      <c r="J18" s="1865"/>
      <c r="K18" s="1865"/>
      <c r="L18" s="1865"/>
      <c r="M18" s="1865"/>
      <c r="N18" s="1865"/>
      <c r="O18" s="1865"/>
      <c r="P18" s="1865"/>
      <c r="Q18" s="1865"/>
      <c r="R18" s="1865"/>
      <c r="S18" s="1865"/>
      <c r="T18" s="1865"/>
      <c r="U18" s="1865"/>
      <c r="V18" s="1865"/>
      <c r="W18" s="1865"/>
      <c r="X18" s="1865"/>
      <c r="Y18" s="1865"/>
      <c r="Z18" s="1865"/>
      <c r="AA18" s="1866"/>
    </row>
    <row r="19" spans="1:27" ht="21" customHeight="1" x14ac:dyDescent="0.25">
      <c r="A19" s="1600"/>
      <c r="B19" s="341" t="s">
        <v>1268</v>
      </c>
      <c r="C19" s="1310" t="s">
        <v>1269</v>
      </c>
      <c r="D19" s="1287"/>
      <c r="E19" s="1289"/>
      <c r="F19" s="1289"/>
      <c r="G19" s="1290"/>
      <c r="H19" s="1290"/>
      <c r="I19" s="1290"/>
      <c r="J19" s="1290"/>
      <c r="K19" s="1290"/>
      <c r="L19" s="1290"/>
      <c r="M19" s="1288"/>
      <c r="N19" s="1290"/>
      <c r="O19" s="1290"/>
      <c r="P19" s="1290"/>
      <c r="Q19" s="1291"/>
      <c r="R19" s="1292"/>
      <c r="S19" s="1292"/>
      <c r="T19" s="1292"/>
      <c r="U19" s="1292"/>
      <c r="V19" s="1291"/>
      <c r="W19" s="1293"/>
      <c r="X19" s="1294"/>
      <c r="Y19" s="1295"/>
      <c r="Z19" s="1296"/>
      <c r="AA19" s="1297"/>
    </row>
    <row r="20" spans="1:27" ht="21" customHeight="1" x14ac:dyDescent="0.25">
      <c r="A20" s="1600"/>
      <c r="B20" s="341" t="s">
        <v>1270</v>
      </c>
      <c r="C20" s="1310" t="s">
        <v>1271</v>
      </c>
      <c r="D20" s="1275"/>
      <c r="E20" s="1276"/>
      <c r="F20" s="1276"/>
      <c r="G20" s="1299"/>
      <c r="H20" s="1299"/>
      <c r="I20" s="1299"/>
      <c r="J20" s="1299"/>
      <c r="K20" s="1299"/>
      <c r="L20" s="1299"/>
      <c r="M20" s="1299"/>
      <c r="N20" s="1299"/>
      <c r="O20" s="1299"/>
      <c r="P20" s="1299"/>
      <c r="Q20" s="1277"/>
      <c r="R20" s="1277"/>
      <c r="S20" s="1277"/>
      <c r="T20" s="1277"/>
      <c r="U20" s="1277"/>
      <c r="V20" s="1270"/>
      <c r="W20" s="1300"/>
      <c r="X20" s="1301"/>
      <c r="Y20" s="1301"/>
      <c r="Z20" s="1268"/>
      <c r="AA20" s="1302"/>
    </row>
    <row r="21" spans="1:27" ht="36" customHeight="1" x14ac:dyDescent="0.25">
      <c r="A21" s="1600"/>
      <c r="B21" s="341"/>
      <c r="C21" s="334" t="s">
        <v>1272</v>
      </c>
      <c r="D21" s="1303"/>
      <c r="E21" s="1303"/>
      <c r="F21" s="1303"/>
      <c r="G21" s="1303"/>
      <c r="H21" s="1303"/>
      <c r="I21" s="1303"/>
      <c r="J21" s="1303"/>
      <c r="K21" s="1303"/>
      <c r="L21" s="1303"/>
      <c r="M21" s="1303"/>
      <c r="N21" s="1303"/>
      <c r="O21" s="1303"/>
      <c r="P21" s="1303"/>
      <c r="Q21" s="1303"/>
      <c r="R21" s="1303"/>
      <c r="S21" s="1303"/>
      <c r="T21" s="1303"/>
      <c r="U21" s="1303"/>
      <c r="V21" s="1303"/>
      <c r="W21" s="1303"/>
      <c r="X21" s="1303"/>
      <c r="Y21" s="1303"/>
      <c r="Z21" s="1268"/>
      <c r="AA21" s="1302"/>
    </row>
    <row r="22" spans="1:27" s="1605" customFormat="1" ht="21" customHeight="1" x14ac:dyDescent="0.25">
      <c r="A22" s="1603"/>
      <c r="B22" s="341" t="s">
        <v>1273</v>
      </c>
      <c r="C22" s="1311" t="s">
        <v>1274</v>
      </c>
      <c r="D22" s="1267"/>
      <c r="E22" s="1269"/>
      <c r="F22" s="1269"/>
      <c r="G22" s="1298"/>
      <c r="H22" s="1298"/>
      <c r="I22" s="1298"/>
      <c r="J22" s="1298"/>
      <c r="K22" s="1298"/>
      <c r="L22" s="1298"/>
      <c r="M22" s="1604"/>
      <c r="N22" s="1299"/>
      <c r="O22" s="1299"/>
      <c r="P22" s="1299"/>
      <c r="Q22" s="1270"/>
      <c r="R22" s="1303"/>
      <c r="S22" s="1303"/>
      <c r="T22" s="1303"/>
      <c r="U22" s="1303"/>
      <c r="V22" s="1270"/>
      <c r="W22" s="1270"/>
      <c r="X22" s="1277"/>
      <c r="Y22" s="1270"/>
      <c r="Z22" s="1268"/>
      <c r="AA22" s="1302"/>
    </row>
    <row r="23" spans="1:27" s="1605" customFormat="1" ht="34.5" customHeight="1" x14ac:dyDescent="0.25">
      <c r="A23" s="1603"/>
      <c r="B23" s="343" t="s">
        <v>1275</v>
      </c>
      <c r="C23" s="1312" t="s">
        <v>1276</v>
      </c>
      <c r="D23" s="1267"/>
      <c r="E23" s="1269"/>
      <c r="F23" s="1304"/>
      <c r="G23" s="1303"/>
      <c r="H23" s="1303"/>
      <c r="I23" s="1303"/>
      <c r="J23" s="1303"/>
      <c r="K23" s="1303"/>
      <c r="L23" s="1303"/>
      <c r="M23" s="1606"/>
      <c r="N23" s="1303"/>
      <c r="O23" s="1303"/>
      <c r="P23" s="1303"/>
      <c r="Q23" s="1268"/>
      <c r="R23" s="1303"/>
      <c r="S23" s="1303"/>
      <c r="T23" s="1303"/>
      <c r="U23" s="1303"/>
      <c r="V23" s="1270"/>
      <c r="W23" s="1268"/>
      <c r="X23" s="1268"/>
      <c r="Y23" s="1268"/>
      <c r="Z23" s="1268"/>
      <c r="AA23" s="1302"/>
    </row>
    <row r="24" spans="1:27" s="1605" customFormat="1" ht="21" customHeight="1" x14ac:dyDescent="0.3">
      <c r="A24" s="1603"/>
      <c r="B24" s="343" t="s">
        <v>1277</v>
      </c>
      <c r="C24" s="1311" t="s">
        <v>1278</v>
      </c>
      <c r="D24" s="1267"/>
      <c r="E24" s="1269"/>
      <c r="F24" s="1269"/>
      <c r="G24" s="1298"/>
      <c r="H24" s="1298"/>
      <c r="I24" s="1298"/>
      <c r="J24" s="1298"/>
      <c r="K24" s="1298"/>
      <c r="L24" s="1298"/>
      <c r="M24" s="1604"/>
      <c r="N24" s="1298"/>
      <c r="O24" s="1298"/>
      <c r="P24" s="1298"/>
      <c r="Q24" s="1270"/>
      <c r="R24" s="1303"/>
      <c r="S24" s="1303"/>
      <c r="T24" s="1303"/>
      <c r="U24" s="1303"/>
      <c r="V24" s="1270"/>
      <c r="W24" s="1270"/>
      <c r="X24" s="1277"/>
      <c r="Y24"/>
      <c r="Z24" s="1268"/>
      <c r="AA24" s="1302"/>
    </row>
    <row r="25" spans="1:27" s="1605" customFormat="1" ht="32.25" customHeight="1" x14ac:dyDescent="0.25">
      <c r="A25" s="1603"/>
      <c r="B25" s="343" t="s">
        <v>1279</v>
      </c>
      <c r="C25" s="1312" t="s">
        <v>1280</v>
      </c>
      <c r="D25" s="1267"/>
      <c r="E25" s="1269"/>
      <c r="F25" s="1304"/>
      <c r="G25" s="1303"/>
      <c r="H25" s="1303"/>
      <c r="I25" s="1303"/>
      <c r="J25" s="1303"/>
      <c r="K25" s="1303"/>
      <c r="L25" s="1303"/>
      <c r="M25" s="1606"/>
      <c r="N25" s="1303"/>
      <c r="O25" s="1303"/>
      <c r="P25" s="1303"/>
      <c r="Q25" s="1268"/>
      <c r="R25" s="1303"/>
      <c r="S25" s="1303"/>
      <c r="T25" s="1303"/>
      <c r="U25" s="1303"/>
      <c r="V25" s="1270"/>
      <c r="W25" s="1268"/>
      <c r="X25" s="1268"/>
      <c r="Y25" s="1268"/>
      <c r="Z25" s="1268"/>
      <c r="AA25" s="1302"/>
    </row>
    <row r="26" spans="1:27" s="1605" customFormat="1" ht="21" customHeight="1" x14ac:dyDescent="0.3">
      <c r="A26" s="1603"/>
      <c r="B26" s="343" t="s">
        <v>1281</v>
      </c>
      <c r="C26" s="1313" t="s">
        <v>1282</v>
      </c>
      <c r="D26" s="1305"/>
      <c r="E26" s="1281"/>
      <c r="F26" s="1281"/>
      <c r="G26" s="1306"/>
      <c r="H26" s="1306"/>
      <c r="I26" s="1306"/>
      <c r="J26" s="1306"/>
      <c r="K26" s="1306"/>
      <c r="L26" s="1306"/>
      <c r="M26" s="1607"/>
      <c r="N26" s="1306"/>
      <c r="O26" s="1306"/>
      <c r="P26" s="1306"/>
      <c r="Q26" s="1282"/>
      <c r="R26" s="1307"/>
      <c r="S26" s="1307"/>
      <c r="T26" s="1307"/>
      <c r="U26" s="1307"/>
      <c r="V26" s="1282"/>
      <c r="W26" s="1282"/>
      <c r="X26" s="1308"/>
      <c r="Y26"/>
      <c r="Z26" s="1280"/>
      <c r="AA26" s="1309"/>
    </row>
    <row r="27" spans="1:27" ht="24" customHeight="1" x14ac:dyDescent="0.25">
      <c r="A27" s="1600"/>
      <c r="B27" s="1867" t="s">
        <v>1283</v>
      </c>
      <c r="C27" s="1868"/>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5"/>
    </row>
    <row r="28" spans="1:27" ht="21" customHeight="1" x14ac:dyDescent="0.2">
      <c r="A28" s="1600"/>
      <c r="B28" s="341">
        <v>140</v>
      </c>
      <c r="C28" s="1314">
        <v>0</v>
      </c>
      <c r="D28" s="1317"/>
      <c r="E28" s="1319"/>
      <c r="F28" s="1319"/>
      <c r="G28" s="1318"/>
      <c r="H28" s="1318"/>
      <c r="I28" s="1320"/>
      <c r="J28" s="1320"/>
      <c r="K28" s="1320"/>
      <c r="L28" s="1320"/>
      <c r="M28" s="1320"/>
      <c r="N28" s="1320"/>
      <c r="O28" s="1320"/>
      <c r="P28" s="1320"/>
      <c r="Q28" s="1321"/>
      <c r="R28" s="1321"/>
      <c r="S28" s="1321"/>
      <c r="T28" s="1321"/>
      <c r="U28" s="1321"/>
      <c r="V28" s="1322"/>
      <c r="W28" s="1321"/>
      <c r="X28" s="1323"/>
      <c r="Y28" s="1322"/>
      <c r="Z28" s="1321"/>
      <c r="AA28" s="1324"/>
    </row>
    <row r="29" spans="1:27" ht="21" customHeight="1" x14ac:dyDescent="0.2">
      <c r="A29" s="1600"/>
      <c r="B29" s="341">
        <v>150</v>
      </c>
      <c r="C29" s="1315">
        <v>0.02</v>
      </c>
      <c r="D29" s="1325"/>
      <c r="E29" s="1327"/>
      <c r="F29" s="1327"/>
      <c r="G29" s="1326"/>
      <c r="H29" s="1326"/>
      <c r="I29" s="1328"/>
      <c r="J29" s="1328"/>
      <c r="K29" s="1328"/>
      <c r="L29" s="1328"/>
      <c r="M29" s="1328"/>
      <c r="N29" s="1328"/>
      <c r="O29" s="1328"/>
      <c r="P29" s="1328"/>
      <c r="Q29" s="1329"/>
      <c r="R29" s="1330"/>
      <c r="S29" s="1330"/>
      <c r="T29" s="1330"/>
      <c r="U29" s="1330"/>
      <c r="V29" s="1331"/>
      <c r="W29" s="1330"/>
      <c r="X29" s="1329"/>
      <c r="Y29" s="1331"/>
      <c r="Z29" s="1330"/>
      <c r="AA29" s="1332"/>
    </row>
    <row r="30" spans="1:27" ht="21" customHeight="1" x14ac:dyDescent="0.2">
      <c r="A30" s="1600"/>
      <c r="B30" s="341">
        <v>160</v>
      </c>
      <c r="C30" s="1315">
        <v>0.04</v>
      </c>
      <c r="D30" s="1333"/>
      <c r="E30" s="1334"/>
      <c r="F30" s="1334"/>
      <c r="G30" s="1326"/>
      <c r="H30" s="1326"/>
      <c r="I30" s="1328"/>
      <c r="J30" s="1328"/>
      <c r="K30" s="1328"/>
      <c r="L30" s="1328"/>
      <c r="M30" s="1328"/>
      <c r="N30" s="1328"/>
      <c r="O30" s="1328"/>
      <c r="P30" s="1328"/>
      <c r="Q30" s="1329"/>
      <c r="R30" s="1329"/>
      <c r="S30" s="1329"/>
      <c r="T30" s="1329"/>
      <c r="U30" s="1329"/>
      <c r="V30" s="1329"/>
      <c r="W30" s="1329"/>
      <c r="X30" s="1329"/>
      <c r="Y30" s="1329"/>
      <c r="Z30" s="1329"/>
      <c r="AA30" s="1335"/>
    </row>
    <row r="31" spans="1:27" ht="21" customHeight="1" x14ac:dyDescent="0.2">
      <c r="A31" s="1600"/>
      <c r="B31" s="341">
        <v>170</v>
      </c>
      <c r="C31" s="1315">
        <v>0.1</v>
      </c>
      <c r="D31" s="1336"/>
      <c r="E31" s="1337"/>
      <c r="F31" s="1337"/>
      <c r="G31" s="1273"/>
      <c r="H31" s="1273"/>
      <c r="I31" s="1328"/>
      <c r="J31" s="1328"/>
      <c r="K31" s="1328"/>
      <c r="L31" s="1328"/>
      <c r="M31" s="1328"/>
      <c r="N31" s="1328"/>
      <c r="O31" s="1328"/>
      <c r="P31" s="1328"/>
      <c r="Q31" s="1330"/>
      <c r="R31" s="1330"/>
      <c r="S31" s="1330"/>
      <c r="T31" s="1330"/>
      <c r="U31" s="1330"/>
      <c r="V31" s="1331"/>
      <c r="W31" s="1330"/>
      <c r="X31" s="1329"/>
      <c r="Y31" s="1331"/>
      <c r="Z31" s="1330"/>
      <c r="AA31" s="1332"/>
    </row>
    <row r="32" spans="1:27" ht="21" customHeight="1" x14ac:dyDescent="0.2">
      <c r="A32" s="1600"/>
      <c r="B32" s="341">
        <v>180</v>
      </c>
      <c r="C32" s="1315">
        <v>0.2</v>
      </c>
      <c r="D32" s="1325"/>
      <c r="E32" s="1327"/>
      <c r="F32" s="1327"/>
      <c r="G32" s="1326"/>
      <c r="H32" s="1326"/>
      <c r="I32" s="1328"/>
      <c r="J32" s="1328"/>
      <c r="K32" s="1328"/>
      <c r="L32" s="1328"/>
      <c r="M32" s="1328"/>
      <c r="N32" s="1328"/>
      <c r="O32" s="1328"/>
      <c r="P32" s="1328"/>
      <c r="Q32" s="1330"/>
      <c r="R32" s="1330"/>
      <c r="S32" s="1330"/>
      <c r="T32" s="1330"/>
      <c r="U32" s="1330"/>
      <c r="V32" s="1331"/>
      <c r="W32" s="1330"/>
      <c r="X32" s="1329"/>
      <c r="Y32" s="1331"/>
      <c r="Z32" s="1330"/>
      <c r="AA32" s="1332"/>
    </row>
    <row r="33" spans="1:27" ht="21" customHeight="1" x14ac:dyDescent="0.2">
      <c r="A33" s="1600"/>
      <c r="B33" s="341">
        <v>190</v>
      </c>
      <c r="C33" s="1315">
        <v>0.35</v>
      </c>
      <c r="D33" s="1338"/>
      <c r="E33" s="1339"/>
      <c r="F33" s="1339"/>
      <c r="G33" s="1326"/>
      <c r="H33" s="1326"/>
      <c r="I33" s="1328"/>
      <c r="J33" s="1328"/>
      <c r="K33" s="1328"/>
      <c r="L33" s="1328"/>
      <c r="M33" s="1328"/>
      <c r="N33" s="1328"/>
      <c r="O33" s="1328"/>
      <c r="P33" s="1328"/>
      <c r="Q33" s="1330"/>
      <c r="R33" s="1330"/>
      <c r="S33" s="1330"/>
      <c r="T33" s="1330"/>
      <c r="U33" s="1330"/>
      <c r="V33" s="1331"/>
      <c r="W33" s="1330"/>
      <c r="X33" s="1329"/>
      <c r="Y33" s="1331"/>
      <c r="Z33" s="1330"/>
      <c r="AA33" s="1332"/>
    </row>
    <row r="34" spans="1:27" ht="21" customHeight="1" x14ac:dyDescent="0.2">
      <c r="A34" s="1600"/>
      <c r="B34" s="341">
        <v>200</v>
      </c>
      <c r="C34" s="1315">
        <v>0.5</v>
      </c>
      <c r="D34" s="1338"/>
      <c r="E34" s="1339"/>
      <c r="F34" s="1339"/>
      <c r="G34" s="1326"/>
      <c r="H34" s="1326"/>
      <c r="I34" s="1328"/>
      <c r="J34" s="1328"/>
      <c r="K34" s="1328"/>
      <c r="L34" s="1328"/>
      <c r="M34" s="1328"/>
      <c r="N34" s="1328"/>
      <c r="O34" s="1328"/>
      <c r="P34" s="1328"/>
      <c r="Q34" s="1330"/>
      <c r="R34" s="1330"/>
      <c r="S34" s="1330"/>
      <c r="T34" s="1330"/>
      <c r="U34" s="1330"/>
      <c r="V34" s="1331"/>
      <c r="W34" s="1330"/>
      <c r="X34" s="1329"/>
      <c r="Y34" s="1331"/>
      <c r="Z34" s="1330"/>
      <c r="AA34" s="1332"/>
    </row>
    <row r="35" spans="1:27" ht="21" customHeight="1" x14ac:dyDescent="0.2">
      <c r="A35" s="1600"/>
      <c r="B35" s="341">
        <v>210</v>
      </c>
      <c r="C35" s="1315">
        <v>0.7</v>
      </c>
      <c r="D35" s="1340"/>
      <c r="E35" s="1341"/>
      <c r="F35" s="1341"/>
      <c r="G35" s="1342"/>
      <c r="H35" s="1342"/>
      <c r="I35" s="1343"/>
      <c r="J35" s="1343"/>
      <c r="K35" s="1343"/>
      <c r="L35" s="1343"/>
      <c r="M35" s="1343"/>
      <c r="N35" s="1343"/>
      <c r="O35" s="1343"/>
      <c r="P35" s="1343"/>
      <c r="Q35" s="1330"/>
      <c r="R35" s="1330"/>
      <c r="S35" s="1330"/>
      <c r="T35" s="1330"/>
      <c r="U35" s="1330"/>
      <c r="V35" s="1330"/>
      <c r="W35" s="1330"/>
      <c r="X35" s="1329"/>
      <c r="Y35" s="1330"/>
      <c r="Z35" s="1330"/>
      <c r="AA35" s="1332"/>
    </row>
    <row r="36" spans="1:27" ht="21" customHeight="1" x14ac:dyDescent="0.2">
      <c r="A36" s="1600"/>
      <c r="B36" s="341">
        <v>220</v>
      </c>
      <c r="C36" s="1315">
        <v>0.75</v>
      </c>
      <c r="D36" s="1338"/>
      <c r="E36" s="1339"/>
      <c r="F36" s="1339"/>
      <c r="G36" s="1326"/>
      <c r="H36" s="1326"/>
      <c r="I36" s="1328"/>
      <c r="J36" s="1328"/>
      <c r="K36" s="1328"/>
      <c r="L36" s="1328"/>
      <c r="M36" s="1328"/>
      <c r="N36" s="1328"/>
      <c r="O36" s="1328"/>
      <c r="P36" s="1328"/>
      <c r="Q36" s="1331"/>
      <c r="R36" s="1330"/>
      <c r="S36" s="1330"/>
      <c r="T36" s="1330"/>
      <c r="U36" s="1330"/>
      <c r="V36" s="1331"/>
      <c r="W36" s="1330"/>
      <c r="X36" s="1329"/>
      <c r="Y36" s="1330"/>
      <c r="Z36" s="1330"/>
      <c r="AA36" s="1332"/>
    </row>
    <row r="37" spans="1:27" ht="21" customHeight="1" x14ac:dyDescent="0.2">
      <c r="A37" s="1600"/>
      <c r="B37" s="341">
        <v>230</v>
      </c>
      <c r="C37" s="1315">
        <v>1</v>
      </c>
      <c r="D37" s="1338"/>
      <c r="E37" s="1339"/>
      <c r="F37" s="1339"/>
      <c r="G37" s="1326"/>
      <c r="H37" s="1326"/>
      <c r="I37" s="1328"/>
      <c r="J37" s="1328"/>
      <c r="K37" s="1328"/>
      <c r="L37" s="1328"/>
      <c r="M37" s="1328"/>
      <c r="N37" s="1328"/>
      <c r="O37" s="1328"/>
      <c r="P37" s="1328"/>
      <c r="Q37" s="1331"/>
      <c r="R37" s="1330"/>
      <c r="S37" s="1330"/>
      <c r="T37" s="1330"/>
      <c r="U37" s="1330"/>
      <c r="V37" s="1331"/>
      <c r="W37" s="1330"/>
      <c r="X37" s="1329"/>
      <c r="Y37" s="1330"/>
      <c r="Z37" s="1330"/>
      <c r="AA37" s="1332"/>
    </row>
    <row r="38" spans="1:27" ht="21" customHeight="1" x14ac:dyDescent="0.2">
      <c r="A38" s="1600"/>
      <c r="B38" s="341">
        <v>240</v>
      </c>
      <c r="C38" s="1315">
        <v>1.5</v>
      </c>
      <c r="D38" s="1338"/>
      <c r="E38" s="1339"/>
      <c r="F38" s="1339"/>
      <c r="G38" s="1326"/>
      <c r="H38" s="1326"/>
      <c r="I38" s="1328"/>
      <c r="J38" s="1328"/>
      <c r="K38" s="1328"/>
      <c r="L38" s="1328"/>
      <c r="M38" s="1328"/>
      <c r="N38" s="1328"/>
      <c r="O38" s="1328"/>
      <c r="P38" s="1328"/>
      <c r="Q38" s="1331"/>
      <c r="R38" s="1330"/>
      <c r="S38" s="1330"/>
      <c r="T38" s="1330"/>
      <c r="U38" s="1330"/>
      <c r="V38" s="1331"/>
      <c r="W38" s="1330"/>
      <c r="X38" s="1329"/>
      <c r="Y38" s="1330"/>
      <c r="Z38" s="1330"/>
      <c r="AA38" s="1332"/>
    </row>
    <row r="39" spans="1:27" ht="21" customHeight="1" x14ac:dyDescent="0.2">
      <c r="A39" s="1600"/>
      <c r="B39" s="341">
        <v>250</v>
      </c>
      <c r="C39" s="1315">
        <v>2.5</v>
      </c>
      <c r="D39" s="1344"/>
      <c r="E39" s="1345"/>
      <c r="F39" s="1345"/>
      <c r="G39" s="1342"/>
      <c r="H39" s="1342"/>
      <c r="I39" s="1343"/>
      <c r="J39" s="1343"/>
      <c r="K39" s="1343"/>
      <c r="L39" s="1343"/>
      <c r="M39" s="1343"/>
      <c r="N39" s="1343"/>
      <c r="O39" s="1343"/>
      <c r="P39" s="1343"/>
      <c r="Q39" s="1330"/>
      <c r="R39" s="1330"/>
      <c r="S39" s="1330"/>
      <c r="T39" s="1330"/>
      <c r="U39" s="1330"/>
      <c r="V39" s="1330"/>
      <c r="W39" s="1330"/>
      <c r="X39" s="1329"/>
      <c r="Y39" s="1330"/>
      <c r="Z39" s="1330"/>
      <c r="AA39" s="1332"/>
    </row>
    <row r="40" spans="1:27" ht="21" customHeight="1" x14ac:dyDescent="0.2">
      <c r="A40" s="1600"/>
      <c r="B40" s="341">
        <v>260</v>
      </c>
      <c r="C40" s="1315">
        <v>3.7</v>
      </c>
      <c r="D40" s="1333"/>
      <c r="E40" s="1334"/>
      <c r="F40" s="1334"/>
      <c r="G40" s="1326"/>
      <c r="H40" s="1326"/>
      <c r="I40" s="1328"/>
      <c r="J40" s="1328"/>
      <c r="K40" s="1328"/>
      <c r="L40" s="1328"/>
      <c r="M40" s="1328"/>
      <c r="N40" s="1328"/>
      <c r="O40" s="1328"/>
      <c r="P40" s="1328"/>
      <c r="Q40" s="1329"/>
      <c r="R40" s="1329"/>
      <c r="S40" s="1329"/>
      <c r="T40" s="1329"/>
      <c r="U40" s="1329"/>
      <c r="V40" s="1329"/>
      <c r="W40" s="1329"/>
      <c r="X40" s="1329"/>
      <c r="Y40" s="1329"/>
      <c r="Z40" s="1329"/>
      <c r="AA40" s="1335"/>
    </row>
    <row r="41" spans="1:27" ht="21" customHeight="1" x14ac:dyDescent="0.25">
      <c r="A41" s="1600"/>
      <c r="B41" s="341">
        <v>270</v>
      </c>
      <c r="C41" s="1315" t="s">
        <v>1284</v>
      </c>
      <c r="D41" s="1344"/>
      <c r="E41" s="1345"/>
      <c r="F41" s="1345"/>
      <c r="G41" s="1342"/>
      <c r="H41" s="1342"/>
      <c r="I41" s="1343"/>
      <c r="J41" s="1343"/>
      <c r="K41" s="1343"/>
      <c r="L41" s="1343"/>
      <c r="M41" s="1343"/>
      <c r="N41" s="1343"/>
      <c r="O41" s="1343"/>
      <c r="P41" s="1343"/>
      <c r="Q41" s="1330"/>
      <c r="R41" s="1330"/>
      <c r="S41" s="1330"/>
      <c r="T41" s="1330"/>
      <c r="U41" s="1330"/>
      <c r="V41" s="1330"/>
      <c r="W41" s="1330"/>
      <c r="X41" s="1329"/>
      <c r="Y41" s="1330"/>
      <c r="Z41" s="1330"/>
      <c r="AA41" s="1332"/>
    </row>
    <row r="42" spans="1:27" ht="21" customHeight="1" x14ac:dyDescent="0.25">
      <c r="A42" s="1600"/>
      <c r="B42" s="341">
        <v>280</v>
      </c>
      <c r="C42" s="1374" t="s">
        <v>1285</v>
      </c>
      <c r="D42" s="1375"/>
      <c r="E42" s="1376"/>
      <c r="F42" s="1376"/>
      <c r="G42" s="1377"/>
      <c r="H42" s="1377"/>
      <c r="I42" s="1377"/>
      <c r="J42" s="1377"/>
      <c r="K42" s="1377"/>
      <c r="L42" s="1377"/>
      <c r="M42" s="1377"/>
      <c r="N42" s="1377"/>
      <c r="O42" s="1377"/>
      <c r="P42" s="1377"/>
      <c r="Q42" s="1378"/>
      <c r="R42" s="1378"/>
      <c r="S42" s="1378"/>
      <c r="T42" s="1378"/>
      <c r="U42" s="1378"/>
      <c r="V42" s="1378"/>
      <c r="W42" s="1378"/>
      <c r="X42" s="1379"/>
      <c r="Y42" s="1378"/>
      <c r="Z42" s="1378"/>
      <c r="AA42" s="1380"/>
    </row>
    <row r="43" spans="1:27" ht="24" customHeight="1" x14ac:dyDescent="0.25">
      <c r="B43" s="1887" t="s">
        <v>1286</v>
      </c>
      <c r="C43" s="1888"/>
      <c r="D43" s="1888"/>
      <c r="E43" s="1888"/>
      <c r="F43" s="1888"/>
      <c r="G43" s="1888"/>
      <c r="H43" s="1888"/>
      <c r="I43" s="1888"/>
      <c r="J43" s="1888"/>
      <c r="K43" s="1888"/>
      <c r="L43" s="1888"/>
      <c r="M43" s="1888"/>
      <c r="N43" s="1888"/>
      <c r="O43" s="1888"/>
      <c r="P43" s="1888"/>
      <c r="Q43" s="1888"/>
      <c r="R43" s="1888"/>
      <c r="S43" s="1888"/>
      <c r="T43" s="1888"/>
      <c r="U43" s="1888"/>
      <c r="V43" s="1888"/>
      <c r="W43" s="1888"/>
      <c r="X43" s="1888"/>
      <c r="Y43" s="1888"/>
      <c r="Z43" s="1888"/>
      <c r="AA43" s="1889"/>
    </row>
    <row r="44" spans="1:27" ht="37.5" customHeight="1" x14ac:dyDescent="0.25">
      <c r="B44" s="1608">
        <v>290</v>
      </c>
      <c r="C44" s="1316" t="s">
        <v>1287</v>
      </c>
      <c r="D44" s="1347"/>
      <c r="E44" s="1349"/>
      <c r="F44" s="1349"/>
      <c r="G44" s="1348"/>
      <c r="H44" s="1348"/>
      <c r="I44" s="1348"/>
      <c r="J44" s="1348"/>
      <c r="K44" s="1348"/>
      <c r="L44" s="1348"/>
      <c r="M44" s="1348"/>
      <c r="N44" s="1348"/>
      <c r="O44" s="1348"/>
      <c r="P44" s="1348"/>
      <c r="Q44" s="1349"/>
      <c r="R44" s="1349"/>
      <c r="S44" s="1349"/>
      <c r="T44" s="1349"/>
      <c r="U44" s="1349"/>
      <c r="V44" s="1349"/>
      <c r="W44" s="1349"/>
      <c r="X44" s="1349"/>
      <c r="Y44" s="1349"/>
      <c r="Z44" s="1348"/>
      <c r="AA44" s="1350"/>
    </row>
    <row r="45" spans="1:27" ht="27" customHeight="1" x14ac:dyDescent="0.25">
      <c r="B45" s="1608">
        <v>300</v>
      </c>
      <c r="C45" s="1316" t="s">
        <v>1288</v>
      </c>
      <c r="D45" s="1351"/>
      <c r="E45" s="1299"/>
      <c r="F45" s="1299"/>
      <c r="G45" s="1343"/>
      <c r="H45" s="1343"/>
      <c r="I45" s="1343"/>
      <c r="J45" s="1343"/>
      <c r="K45" s="1343"/>
      <c r="L45" s="1343"/>
      <c r="M45" s="1343"/>
      <c r="N45" s="1343"/>
      <c r="O45" s="1343"/>
      <c r="P45" s="1343"/>
      <c r="Q45" s="1352"/>
      <c r="R45" s="1299"/>
      <c r="S45" s="1299"/>
      <c r="T45" s="1299"/>
      <c r="U45" s="1299"/>
      <c r="V45" s="1299"/>
      <c r="W45" s="1299"/>
      <c r="X45" s="1299"/>
      <c r="Y45" s="1268"/>
      <c r="Z45" s="1343"/>
      <c r="AA45" s="1353"/>
    </row>
    <row r="46" spans="1:27" ht="36" customHeight="1" x14ac:dyDescent="0.25">
      <c r="B46" s="1608">
        <v>310</v>
      </c>
      <c r="C46" s="1316" t="s">
        <v>1289</v>
      </c>
      <c r="D46" s="1351"/>
      <c r="E46" s="1299"/>
      <c r="F46" s="1299"/>
      <c r="G46" s="1343"/>
      <c r="H46" s="1343"/>
      <c r="I46" s="1343"/>
      <c r="J46" s="1343"/>
      <c r="K46" s="1343"/>
      <c r="L46" s="1343"/>
      <c r="M46" s="1343"/>
      <c r="N46" s="1343"/>
      <c r="O46" s="1343"/>
      <c r="P46" s="1343"/>
      <c r="Q46" s="1352"/>
      <c r="R46" s="1299"/>
      <c r="S46" s="1299"/>
      <c r="T46" s="1299"/>
      <c r="U46" s="1299"/>
      <c r="V46" s="1299"/>
      <c r="W46" s="1299"/>
      <c r="X46" s="1299"/>
      <c r="Y46" s="1299"/>
      <c r="Z46" s="1343"/>
      <c r="AA46" s="1353"/>
    </row>
    <row r="47" spans="1:27" ht="34.5" customHeight="1" thickBot="1" x14ac:dyDescent="0.3">
      <c r="B47" s="1609">
        <v>320</v>
      </c>
      <c r="C47" s="1384" t="s">
        <v>1290</v>
      </c>
      <c r="D47" s="1354"/>
      <c r="E47" s="1355"/>
      <c r="F47" s="1355"/>
      <c r="G47" s="1346"/>
      <c r="H47" s="1346"/>
      <c r="I47" s="1346"/>
      <c r="J47" s="1346"/>
      <c r="K47" s="1346"/>
      <c r="L47" s="1346"/>
      <c r="M47" s="1346"/>
      <c r="N47" s="1346"/>
      <c r="O47" s="1346"/>
      <c r="P47" s="1346"/>
      <c r="Q47" s="1356"/>
      <c r="R47" s="1355"/>
      <c r="S47" s="1355"/>
      <c r="T47" s="1355"/>
      <c r="U47" s="1355"/>
      <c r="V47" s="1355"/>
      <c r="W47" s="1355"/>
      <c r="X47" s="1355"/>
      <c r="Y47" s="1268"/>
      <c r="Z47" s="1346"/>
      <c r="AA47" s="1357"/>
    </row>
    <row r="48" spans="1:27" ht="22.5" x14ac:dyDescent="0.2">
      <c r="G48" s="1605"/>
      <c r="H48" s="1381"/>
      <c r="I48" s="1381"/>
      <c r="J48" s="1382"/>
      <c r="K48" s="1382"/>
      <c r="L48" s="1382"/>
      <c r="M48" s="1382"/>
      <c r="N48" s="1382"/>
      <c r="O48" s="1382"/>
      <c r="P48" s="1382"/>
      <c r="Q48" s="1382"/>
      <c r="R48" s="1605"/>
      <c r="S48" s="1605"/>
      <c r="T48" s="1605"/>
      <c r="U48" s="1605"/>
      <c r="V48" s="1605"/>
      <c r="W48" s="1605"/>
      <c r="X48" s="1605"/>
      <c r="Y48" s="1605"/>
      <c r="Z48" s="1605"/>
    </row>
    <row r="49" spans="7:26" ht="14.25" x14ac:dyDescent="0.2">
      <c r="G49" s="1605"/>
      <c r="H49" s="1605"/>
      <c r="I49" s="1605"/>
      <c r="J49" s="1605"/>
      <c r="K49" s="1605"/>
      <c r="L49" s="1605"/>
      <c r="M49" s="1605"/>
      <c r="N49" s="1605"/>
      <c r="O49" s="1605"/>
      <c r="P49" s="1605"/>
      <c r="Q49" s="1605"/>
      <c r="R49" s="1605"/>
      <c r="S49" s="1605"/>
      <c r="T49" s="1605"/>
      <c r="U49" s="1605"/>
      <c r="V49" s="1605"/>
      <c r="W49" s="1605"/>
      <c r="X49" s="1605"/>
      <c r="Y49" s="1605"/>
      <c r="Z49" s="1605"/>
    </row>
    <row r="50" spans="7:26" ht="14.25" x14ac:dyDescent="0.2">
      <c r="G50" s="1605"/>
      <c r="H50" s="1605"/>
      <c r="I50" s="1605"/>
      <c r="J50" s="1605"/>
      <c r="K50" s="1605"/>
      <c r="L50" s="1605"/>
      <c r="M50" s="1605"/>
      <c r="N50" s="1605"/>
      <c r="O50" s="1605"/>
      <c r="P50" s="1605"/>
      <c r="Q50" s="1605"/>
      <c r="R50" s="1605"/>
      <c r="S50" s="1605"/>
      <c r="T50" s="1605"/>
      <c r="U50" s="1605"/>
      <c r="V50" s="1605"/>
      <c r="W50" s="1605"/>
      <c r="X50" s="1605"/>
      <c r="Y50" s="1605"/>
      <c r="Z50" s="1605"/>
    </row>
  </sheetData>
  <mergeCells count="36">
    <mergeCell ref="B43:AA43"/>
    <mergeCell ref="AA7:AA9"/>
    <mergeCell ref="G8:G9"/>
    <mergeCell ref="H8:H9"/>
    <mergeCell ref="I8:I9"/>
    <mergeCell ref="I7:J7"/>
    <mergeCell ref="K7:L7"/>
    <mergeCell ref="N7:N9"/>
    <mergeCell ref="D4:E4"/>
    <mergeCell ref="B2:M2"/>
    <mergeCell ref="D6:D9"/>
    <mergeCell ref="B18:AA18"/>
    <mergeCell ref="B27:C27"/>
    <mergeCell ref="E6:E9"/>
    <mergeCell ref="F6:F9"/>
    <mergeCell ref="G6:L6"/>
    <mergeCell ref="M6:M9"/>
    <mergeCell ref="N6:P6"/>
    <mergeCell ref="O7:P7"/>
    <mergeCell ref="J8:J9"/>
    <mergeCell ref="K8:K9"/>
    <mergeCell ref="L8:L9"/>
    <mergeCell ref="P8:P9"/>
    <mergeCell ref="G7:H7"/>
    <mergeCell ref="N2:AA2"/>
    <mergeCell ref="T7:T9"/>
    <mergeCell ref="U7:U9"/>
    <mergeCell ref="W7:W9"/>
    <mergeCell ref="Z7:Z9"/>
    <mergeCell ref="R6:U6"/>
    <mergeCell ref="V6:V9"/>
    <mergeCell ref="X6:X9"/>
    <mergeCell ref="Y6:Y9"/>
    <mergeCell ref="Q6:Q9"/>
    <mergeCell ref="R7:R9"/>
    <mergeCell ref="S7:S9"/>
  </mergeCells>
  <conditionalFormatting sqref="Q39:X42 C28:C38 C19:C20 C39:F42 C22:C26">
    <cfRule type="cellIs" dxfId="2" priority="2" stopIfTrue="1" operator="equal">
      <formula>#REF!</formula>
    </cfRule>
  </conditionalFormatting>
  <conditionalFormatting sqref="C44:C47">
    <cfRule type="cellIs" dxfId="1" priority="1" stopIfTrue="1" operator="equal">
      <formula>#REF!</formula>
    </cfRule>
  </conditionalFormatting>
  <printOptions horizontalCentered="1" verticalCentered="1"/>
  <pageMargins left="0.15748031496062992" right="0.15748031496062992" top="0.15748031496062992" bottom="0" header="0.11811023622047245" footer="0.31496062992125984"/>
  <pageSetup paperSize="9" scale="45" fitToWidth="0" pageOrder="overThenDown" orientation="landscape" cellComments="asDisplayed" r:id="rId1"/>
  <headerFooter>
    <oddHeader>&amp;CFR
ANNEXE I</oddHeader>
    <oddFooter>&amp;C&amp;P</oddFooter>
  </headerFooter>
  <colBreaks count="1" manualBreakCount="1">
    <brk id="13" min="1" max="44" man="1"/>
  </colBreaks>
  <ignoredErrors>
    <ignoredError sqref="D10:AA10 B13:B17 B22:B26 B19:B20 B1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AJ34"/>
  <sheetViews>
    <sheetView showWhiteSpace="0" view="pageBreakPreview" zoomScale="10" zoomScaleNormal="50" zoomScaleSheetLayoutView="10" zoomScalePageLayoutView="55" workbookViewId="0">
      <selection activeCell="AG149" sqref="AG149"/>
    </sheetView>
  </sheetViews>
  <sheetFormatPr defaultColWidth="11.44140625" defaultRowHeight="13.8" x14ac:dyDescent="0.25"/>
  <cols>
    <col min="1" max="1" width="0.44140625" style="1170" customWidth="1"/>
    <col min="2" max="2" width="16.6640625" style="1170" customWidth="1"/>
    <col min="3" max="3" width="100.33203125" style="1170" customWidth="1"/>
    <col min="4" max="4" width="33.44140625" style="1170" customWidth="1"/>
    <col min="5" max="5" width="16.88671875" style="1170" customWidth="1"/>
    <col min="6" max="6" width="29.33203125" style="1170" customWidth="1"/>
    <col min="7" max="7" width="25.6640625" style="1170" customWidth="1"/>
    <col min="8" max="8" width="26.5546875" style="1170" customWidth="1"/>
    <col min="9" max="9" width="25.6640625" style="1170" customWidth="1"/>
    <col min="10" max="10" width="28" style="1170" customWidth="1"/>
    <col min="11" max="11" width="21.44140625" style="1170" customWidth="1"/>
    <col min="12" max="12" width="30.33203125" style="1170" customWidth="1"/>
    <col min="13" max="13" width="23.44140625" style="1170" customWidth="1"/>
    <col min="14" max="14" width="21.88671875" style="1170" customWidth="1"/>
    <col min="15" max="15" width="25.33203125" style="1170" customWidth="1"/>
    <col min="16" max="16" width="29.88671875" style="1170" customWidth="1"/>
    <col min="17" max="17" width="30.6640625" style="1170" customWidth="1"/>
    <col min="18" max="18" width="27.6640625" style="1170" customWidth="1"/>
    <col min="19" max="19" width="26.5546875" style="1170" customWidth="1"/>
    <col min="20" max="20" width="30.6640625" style="1170" customWidth="1"/>
    <col min="21" max="21" width="25.109375" style="1170" customWidth="1"/>
    <col min="22" max="22" width="22.6640625" style="1170" customWidth="1"/>
    <col min="23" max="23" width="28.5546875" style="1170" customWidth="1"/>
    <col min="24" max="24" width="26.109375" style="1170" customWidth="1"/>
    <col min="25" max="25" width="28" style="1170" customWidth="1"/>
    <col min="26" max="27" width="31.5546875" style="1170" customWidth="1"/>
    <col min="28" max="29" width="27.6640625" style="1170" customWidth="1"/>
    <col min="30" max="30" width="35.6640625" style="1170" customWidth="1"/>
    <col min="31" max="31" width="32.88671875" style="1170" customWidth="1"/>
    <col min="32" max="32" width="25.44140625" style="1170" customWidth="1"/>
    <col min="33" max="33" width="27.88671875" style="1170" customWidth="1"/>
    <col min="34" max="34" width="57.5546875" style="1170" customWidth="1"/>
    <col min="35" max="36" width="21.44140625" style="1170" customWidth="1"/>
    <col min="37" max="16384" width="11.44140625" style="1170"/>
  </cols>
  <sheetData>
    <row r="1" spans="2:36" s="1242" customFormat="1" ht="15" thickBot="1" x14ac:dyDescent="0.25"/>
    <row r="2" spans="2:36" ht="54.75" customHeight="1" thickBot="1" x14ac:dyDescent="0.3">
      <c r="B2" s="1585" t="s">
        <v>1291</v>
      </c>
      <c r="C2" s="1586" t="s">
        <v>1292</v>
      </c>
      <c r="D2" s="1586"/>
      <c r="E2" s="1586"/>
      <c r="F2" s="1586"/>
      <c r="G2" s="1586"/>
      <c r="H2" s="1586"/>
      <c r="I2" s="1586"/>
      <c r="J2" s="1586"/>
      <c r="K2" s="1586"/>
      <c r="L2" s="1586"/>
      <c r="M2" s="1586"/>
      <c r="N2" s="1586"/>
      <c r="O2" s="1586"/>
      <c r="P2" s="1586"/>
      <c r="Q2" s="1586"/>
      <c r="R2" s="1586" t="s">
        <v>1293</v>
      </c>
      <c r="S2" s="1586"/>
      <c r="T2" s="1586"/>
      <c r="U2" s="1586"/>
      <c r="V2" s="1586"/>
      <c r="W2" s="1586"/>
      <c r="X2" s="1586"/>
      <c r="Y2" s="1586"/>
      <c r="Z2" s="1586"/>
      <c r="AA2" s="1586"/>
      <c r="AB2" s="1586"/>
      <c r="AC2" s="1586"/>
      <c r="AD2" s="1586"/>
      <c r="AE2" s="1586"/>
      <c r="AF2" s="1586"/>
      <c r="AG2" s="1586"/>
      <c r="AH2" s="1587"/>
      <c r="AI2" s="63"/>
      <c r="AJ2" s="63"/>
    </row>
    <row r="3" spans="2:36" ht="19.5" customHeight="1" x14ac:dyDescent="0.2">
      <c r="C3" s="64"/>
      <c r="D3" s="64"/>
      <c r="E3" s="64"/>
      <c r="F3" s="64"/>
      <c r="G3" s="65"/>
      <c r="H3" s="65"/>
      <c r="I3" s="65"/>
      <c r="J3" s="65"/>
      <c r="K3" s="65"/>
      <c r="L3" s="65"/>
      <c r="M3" s="65"/>
      <c r="N3" s="65"/>
      <c r="O3" s="66"/>
      <c r="P3" s="66"/>
      <c r="Q3" s="66"/>
      <c r="R3" s="67"/>
      <c r="S3" s="67"/>
      <c r="T3" s="67"/>
      <c r="U3" s="67"/>
      <c r="V3" s="67"/>
      <c r="W3" s="67"/>
      <c r="X3" s="67"/>
      <c r="Y3" s="67"/>
      <c r="Z3" s="67"/>
      <c r="AA3" s="67"/>
      <c r="AB3" s="67"/>
      <c r="AC3" s="67"/>
      <c r="AD3" s="67"/>
      <c r="AE3" s="67"/>
      <c r="AF3" s="67"/>
      <c r="AG3" s="67"/>
      <c r="AH3" s="67"/>
      <c r="AI3" s="67"/>
      <c r="AJ3" s="67"/>
    </row>
    <row r="4" spans="2:36" ht="28.2" x14ac:dyDescent="0.45">
      <c r="C4" s="68" t="s">
        <v>1294</v>
      </c>
      <c r="D4" s="64"/>
      <c r="E4" s="64"/>
      <c r="F4" s="64"/>
      <c r="G4" s="1536"/>
      <c r="I4" s="69"/>
      <c r="J4" s="69"/>
      <c r="K4" s="69"/>
      <c r="L4" s="69"/>
      <c r="M4" s="69"/>
      <c r="N4" s="69"/>
      <c r="O4" s="66"/>
      <c r="P4" s="66"/>
      <c r="Q4" s="66"/>
      <c r="R4" s="67"/>
      <c r="S4" s="67"/>
      <c r="T4" s="67"/>
      <c r="U4" s="67"/>
      <c r="V4" s="67"/>
      <c r="W4" s="67"/>
      <c r="X4" s="67"/>
      <c r="Y4" s="67"/>
      <c r="Z4" s="67"/>
      <c r="AA4" s="67"/>
      <c r="AB4" s="67"/>
      <c r="AC4" s="67"/>
      <c r="AD4" s="67"/>
      <c r="AE4" s="67"/>
      <c r="AF4" s="67"/>
      <c r="AG4" s="67"/>
      <c r="AH4" s="67"/>
      <c r="AI4" s="67"/>
      <c r="AJ4" s="67"/>
    </row>
    <row r="5" spans="2:36" ht="28.2" x14ac:dyDescent="0.45">
      <c r="C5" s="70" t="s">
        <v>1295</v>
      </c>
      <c r="D5" s="64"/>
      <c r="E5" s="64"/>
      <c r="F5" s="64"/>
      <c r="G5" s="1537"/>
      <c r="I5" s="69"/>
      <c r="J5" s="69"/>
      <c r="K5" s="69"/>
      <c r="L5" s="69"/>
      <c r="M5" s="69"/>
      <c r="N5" s="69"/>
      <c r="O5" s="66"/>
      <c r="P5" s="66"/>
      <c r="Q5" s="66"/>
      <c r="R5" s="67"/>
      <c r="S5" s="67"/>
      <c r="T5" s="67"/>
      <c r="U5" s="67"/>
      <c r="V5" s="67"/>
      <c r="W5" s="67"/>
      <c r="X5" s="67"/>
      <c r="Y5" s="67"/>
      <c r="Z5" s="67"/>
      <c r="AA5" s="67"/>
      <c r="AB5" s="67"/>
      <c r="AC5" s="67"/>
      <c r="AD5" s="67"/>
      <c r="AE5" s="67"/>
      <c r="AF5" s="67"/>
      <c r="AG5" s="67"/>
      <c r="AH5" s="67"/>
      <c r="AI5" s="67"/>
      <c r="AJ5" s="67"/>
    </row>
    <row r="6" spans="2:36" ht="18" customHeight="1" thickBot="1" x14ac:dyDescent="0.35">
      <c r="C6" s="70"/>
      <c r="D6" s="72"/>
      <c r="E6" s="72"/>
      <c r="F6" s="72"/>
      <c r="G6" s="73"/>
      <c r="H6" s="71"/>
      <c r="I6" s="71"/>
      <c r="J6" s="71"/>
      <c r="K6" s="71"/>
      <c r="L6" s="66"/>
      <c r="M6" s="66"/>
      <c r="N6" s="66"/>
      <c r="O6" s="66"/>
      <c r="P6" s="66"/>
      <c r="Q6" s="66"/>
      <c r="R6" s="67"/>
      <c r="S6" s="67"/>
      <c r="T6" s="67"/>
      <c r="U6" s="67"/>
      <c r="V6" s="67"/>
      <c r="W6" s="67"/>
      <c r="X6" s="67"/>
      <c r="Y6" s="67"/>
      <c r="Z6" s="67"/>
      <c r="AA6" s="67"/>
      <c r="AB6" s="67"/>
      <c r="AC6" s="67"/>
      <c r="AD6" s="67"/>
      <c r="AE6" s="67"/>
      <c r="AF6" s="67"/>
      <c r="AG6" s="67"/>
      <c r="AH6" s="67"/>
      <c r="AI6" s="67"/>
      <c r="AJ6" s="67"/>
    </row>
    <row r="7" spans="2:36" ht="117.75" customHeight="1" x14ac:dyDescent="0.25">
      <c r="B7" s="1907"/>
      <c r="C7" s="1908"/>
      <c r="D7" s="1906" t="s">
        <v>1296</v>
      </c>
      <c r="E7" s="1913" t="s">
        <v>1297</v>
      </c>
      <c r="F7" s="1898"/>
      <c r="G7" s="1176" t="s">
        <v>1298</v>
      </c>
      <c r="H7" s="1177"/>
      <c r="I7" s="1177"/>
      <c r="J7" s="1177"/>
      <c r="K7" s="1177"/>
      <c r="L7" s="1913" t="s">
        <v>1299</v>
      </c>
      <c r="M7" s="1178"/>
      <c r="N7" s="1913" t="s">
        <v>1300</v>
      </c>
      <c r="O7" s="1897"/>
      <c r="P7" s="1897"/>
      <c r="Q7" s="1898"/>
      <c r="R7" s="1901" t="s">
        <v>1301</v>
      </c>
      <c r="S7" s="1902"/>
      <c r="T7" s="1902"/>
      <c r="U7" s="1902"/>
      <c r="V7" s="1902"/>
      <c r="W7" s="1902"/>
      <c r="X7" s="1902"/>
      <c r="Y7" s="1179" t="s">
        <v>1302</v>
      </c>
      <c r="Z7" s="1906" t="s">
        <v>1303</v>
      </c>
      <c r="AA7" s="1906" t="s">
        <v>1304</v>
      </c>
      <c r="AB7" s="1906" t="s">
        <v>1305</v>
      </c>
      <c r="AC7" s="1906" t="s">
        <v>1306</v>
      </c>
      <c r="AD7" s="1913" t="s">
        <v>1307</v>
      </c>
      <c r="AE7" s="1898"/>
      <c r="AF7" s="1901" t="s">
        <v>1308</v>
      </c>
      <c r="AG7" s="1932"/>
      <c r="AH7" s="1933"/>
      <c r="AI7" s="1171"/>
      <c r="AJ7" s="1171"/>
    </row>
    <row r="8" spans="2:36" ht="100.5" customHeight="1" x14ac:dyDescent="0.3">
      <c r="B8" s="1909"/>
      <c r="C8" s="1910"/>
      <c r="D8" s="1905"/>
      <c r="E8" s="1914"/>
      <c r="F8" s="1915"/>
      <c r="G8" s="1916" t="s">
        <v>1309</v>
      </c>
      <c r="H8" s="1917"/>
      <c r="I8" s="1903" t="s">
        <v>1310</v>
      </c>
      <c r="J8" s="1180" t="s">
        <v>1311</v>
      </c>
      <c r="K8" s="1181"/>
      <c r="L8" s="1914"/>
      <c r="M8" s="1182"/>
      <c r="N8" s="1914"/>
      <c r="O8" s="1899"/>
      <c r="P8" s="1899"/>
      <c r="Q8" s="1900"/>
      <c r="R8" s="1916" t="s">
        <v>1312</v>
      </c>
      <c r="S8" s="1922"/>
      <c r="T8" s="1916" t="s">
        <v>1313</v>
      </c>
      <c r="U8" s="1923"/>
      <c r="V8" s="1923"/>
      <c r="W8" s="1923"/>
      <c r="X8" s="1923"/>
      <c r="Y8" s="1904" t="s">
        <v>1314</v>
      </c>
      <c r="Z8" s="1904"/>
      <c r="AA8" s="1929"/>
      <c r="AB8" s="1904"/>
      <c r="AC8" s="1904"/>
      <c r="AD8" s="1931"/>
      <c r="AE8" s="1915"/>
      <c r="AF8" s="1903" t="s">
        <v>1315</v>
      </c>
      <c r="AG8" s="1903" t="s">
        <v>1316</v>
      </c>
      <c r="AH8" s="1920" t="s">
        <v>1317</v>
      </c>
    </row>
    <row r="9" spans="2:36" ht="19.5" customHeight="1" x14ac:dyDescent="0.25">
      <c r="B9" s="1909"/>
      <c r="C9" s="1910"/>
      <c r="D9" s="1904" t="s">
        <v>1318</v>
      </c>
      <c r="E9" s="1904"/>
      <c r="F9" s="1903" t="s">
        <v>1319</v>
      </c>
      <c r="G9" s="1903" t="s">
        <v>1320</v>
      </c>
      <c r="H9" s="1903" t="s">
        <v>1321</v>
      </c>
      <c r="I9" s="1904"/>
      <c r="J9" s="1903" t="s">
        <v>1322</v>
      </c>
      <c r="K9" s="1903" t="s">
        <v>1323</v>
      </c>
      <c r="L9" s="1904"/>
      <c r="M9" s="1904" t="s">
        <v>1324</v>
      </c>
      <c r="N9" s="1904"/>
      <c r="O9" s="1904" t="s">
        <v>1325</v>
      </c>
      <c r="P9" s="1904" t="s">
        <v>1326</v>
      </c>
      <c r="Q9" s="1903" t="s">
        <v>1327</v>
      </c>
      <c r="R9" s="1903" t="s">
        <v>1328</v>
      </c>
      <c r="S9" s="1903" t="s">
        <v>1329</v>
      </c>
      <c r="T9" s="1904" t="s">
        <v>1330</v>
      </c>
      <c r="U9" s="1904" t="s">
        <v>1331</v>
      </c>
      <c r="V9" s="1183" t="s">
        <v>1332</v>
      </c>
      <c r="W9" s="1183"/>
      <c r="X9" s="1183"/>
      <c r="Y9" s="1904"/>
      <c r="Z9" s="1904"/>
      <c r="AA9" s="1929"/>
      <c r="AB9" s="1904"/>
      <c r="AC9" s="1904"/>
      <c r="AD9" s="1904"/>
      <c r="AE9" s="1903" t="s">
        <v>1333</v>
      </c>
      <c r="AF9" s="1904"/>
      <c r="AG9" s="1918"/>
      <c r="AH9" s="1921"/>
    </row>
    <row r="10" spans="2:36" ht="18" customHeight="1" x14ac:dyDescent="0.25">
      <c r="B10" s="1909"/>
      <c r="C10" s="1910"/>
      <c r="D10" s="1904"/>
      <c r="E10" s="1904"/>
      <c r="F10" s="1904"/>
      <c r="G10" s="1904"/>
      <c r="H10" s="1904"/>
      <c r="I10" s="1904"/>
      <c r="J10" s="1904"/>
      <c r="K10" s="1904"/>
      <c r="L10" s="1904"/>
      <c r="M10" s="1904"/>
      <c r="N10" s="1904"/>
      <c r="O10" s="1904"/>
      <c r="P10" s="1904"/>
      <c r="Q10" s="1904"/>
      <c r="R10" s="1904"/>
      <c r="S10" s="1904"/>
      <c r="T10" s="1904"/>
      <c r="U10" s="1904"/>
      <c r="V10" s="1903" t="s">
        <v>1334</v>
      </c>
      <c r="W10" s="1927" t="s">
        <v>1335</v>
      </c>
      <c r="X10" s="1903" t="s">
        <v>1336</v>
      </c>
      <c r="Y10" s="1904"/>
      <c r="Z10" s="1904"/>
      <c r="AA10" s="1929"/>
      <c r="AB10" s="1904"/>
      <c r="AC10" s="1904"/>
      <c r="AD10" s="1904"/>
      <c r="AE10" s="1904"/>
      <c r="AF10" s="1904"/>
      <c r="AG10" s="1918"/>
      <c r="AH10" s="1921"/>
    </row>
    <row r="11" spans="2:36" ht="182.25" customHeight="1" x14ac:dyDescent="0.25">
      <c r="B11" s="1909"/>
      <c r="C11" s="1910"/>
      <c r="D11" s="1905"/>
      <c r="E11" s="1905"/>
      <c r="F11" s="1905"/>
      <c r="G11" s="1905"/>
      <c r="H11" s="1904"/>
      <c r="I11" s="1904"/>
      <c r="J11" s="1904"/>
      <c r="K11" s="1904"/>
      <c r="L11" s="1905"/>
      <c r="M11" s="1905"/>
      <c r="N11" s="1904"/>
      <c r="O11" s="1905"/>
      <c r="P11" s="1905" t="s">
        <v>1337</v>
      </c>
      <c r="Q11" s="1905"/>
      <c r="R11" s="1905"/>
      <c r="S11" s="1905"/>
      <c r="T11" s="1905"/>
      <c r="U11" s="1905"/>
      <c r="V11" s="1905"/>
      <c r="W11" s="1928"/>
      <c r="X11" s="1905"/>
      <c r="Y11" s="1905"/>
      <c r="Z11" s="1904"/>
      <c r="AA11" s="1930"/>
      <c r="AB11" s="1904"/>
      <c r="AC11" s="1904"/>
      <c r="AD11" s="1905"/>
      <c r="AE11" s="1905"/>
      <c r="AF11" s="1904"/>
      <c r="AG11" s="1919"/>
      <c r="AH11" s="1921"/>
    </row>
    <row r="12" spans="2:36" s="1173" customFormat="1" ht="43.5" customHeight="1" x14ac:dyDescent="0.3">
      <c r="B12" s="1911"/>
      <c r="C12" s="1912"/>
      <c r="D12" s="1174" t="s">
        <v>1338</v>
      </c>
      <c r="E12" s="1174" t="s">
        <v>1339</v>
      </c>
      <c r="F12" s="1174" t="s">
        <v>1340</v>
      </c>
      <c r="G12" s="1175" t="s">
        <v>1341</v>
      </c>
      <c r="H12" s="1175" t="s">
        <v>1342</v>
      </c>
      <c r="I12" s="1175" t="s">
        <v>1343</v>
      </c>
      <c r="J12" s="1175" t="s">
        <v>1344</v>
      </c>
      <c r="K12" s="1175" t="s">
        <v>1345</v>
      </c>
      <c r="L12" s="1175" t="s">
        <v>1346</v>
      </c>
      <c r="M12" s="1175" t="s">
        <v>1347</v>
      </c>
      <c r="N12" s="1175" t="s">
        <v>1348</v>
      </c>
      <c r="O12" s="1175" t="s">
        <v>1349</v>
      </c>
      <c r="P12" s="1175" t="s">
        <v>1350</v>
      </c>
      <c r="Q12" s="1175">
        <v>140</v>
      </c>
      <c r="R12" s="1175">
        <v>150</v>
      </c>
      <c r="S12" s="1175">
        <v>160</v>
      </c>
      <c r="T12" s="1175">
        <v>170</v>
      </c>
      <c r="U12" s="1175">
        <v>180</v>
      </c>
      <c r="V12" s="1175">
        <v>190</v>
      </c>
      <c r="W12" s="1175">
        <v>200</v>
      </c>
      <c r="X12" s="1175">
        <v>210</v>
      </c>
      <c r="Y12" s="1175">
        <v>220</v>
      </c>
      <c r="Z12" s="1175">
        <v>230</v>
      </c>
      <c r="AA12" s="1175">
        <v>240</v>
      </c>
      <c r="AB12" s="1175">
        <v>250</v>
      </c>
      <c r="AC12" s="1175">
        <v>255</v>
      </c>
      <c r="AD12" s="1175">
        <v>260</v>
      </c>
      <c r="AE12" s="1175">
        <v>270</v>
      </c>
      <c r="AF12" s="1175">
        <v>280</v>
      </c>
      <c r="AG12" s="1175">
        <v>290</v>
      </c>
      <c r="AH12" s="1244">
        <v>300</v>
      </c>
    </row>
    <row r="13" spans="2:36" ht="46.5" customHeight="1" x14ac:dyDescent="0.3">
      <c r="B13" s="1245" t="s">
        <v>1351</v>
      </c>
      <c r="C13" s="74" t="s">
        <v>1352</v>
      </c>
      <c r="D13" s="1642"/>
      <c r="E13" s="1185"/>
      <c r="F13" s="1185"/>
      <c r="G13" s="1185"/>
      <c r="H13" s="1185"/>
      <c r="I13" s="1185"/>
      <c r="J13" s="1185"/>
      <c r="K13" s="1185"/>
      <c r="L13" s="1185"/>
      <c r="M13" s="1188"/>
      <c r="N13" s="1185"/>
      <c r="O13" s="1188"/>
      <c r="P13" s="1188"/>
      <c r="Q13" s="1188"/>
      <c r="R13" s="1190"/>
      <c r="S13" s="1190"/>
      <c r="T13" s="1190"/>
      <c r="U13" s="1190"/>
      <c r="V13" s="1190"/>
      <c r="W13" s="1190"/>
      <c r="X13" s="1190"/>
      <c r="Y13" s="1190"/>
      <c r="Z13" s="1190"/>
      <c r="AA13" s="1190"/>
      <c r="AB13" s="1190"/>
      <c r="AC13" s="1190"/>
      <c r="AD13" s="1643" t="s">
        <v>1353</v>
      </c>
      <c r="AE13" s="1644"/>
      <c r="AF13" s="1190"/>
      <c r="AG13" s="1190"/>
      <c r="AH13" s="1247"/>
    </row>
    <row r="14" spans="2:36" ht="58.5" customHeight="1" x14ac:dyDescent="0.3">
      <c r="B14" s="1245" t="s">
        <v>1354</v>
      </c>
      <c r="C14" s="74" t="s">
        <v>1355</v>
      </c>
      <c r="D14" s="1642"/>
      <c r="E14" s="1185"/>
      <c r="F14" s="1185"/>
      <c r="G14" s="1185"/>
      <c r="H14" s="1185"/>
      <c r="I14" s="1185"/>
      <c r="J14" s="1185"/>
      <c r="K14" s="1185"/>
      <c r="L14" s="1185"/>
      <c r="M14" s="1188"/>
      <c r="N14" s="1185"/>
      <c r="O14" s="1188"/>
      <c r="P14" s="1188"/>
      <c r="Q14" s="1188"/>
      <c r="R14" s="1190"/>
      <c r="S14" s="1190"/>
      <c r="T14" s="1190"/>
      <c r="U14" s="1190"/>
      <c r="V14" s="1190"/>
      <c r="W14" s="1190"/>
      <c r="X14" s="1190"/>
      <c r="Y14" s="1190"/>
      <c r="Z14" s="1190"/>
      <c r="AA14" s="1190"/>
      <c r="AB14" s="1190"/>
      <c r="AC14" s="1190"/>
      <c r="AD14" s="1643"/>
      <c r="AE14" s="1644"/>
      <c r="AF14" s="1190"/>
      <c r="AG14" s="1190"/>
      <c r="AH14" s="1247"/>
    </row>
    <row r="15" spans="2:36" ht="65.099999999999994" customHeight="1" x14ac:dyDescent="0.25">
      <c r="B15" s="1246"/>
      <c r="C15" s="75" t="s">
        <v>1356</v>
      </c>
      <c r="D15" s="1924"/>
      <c r="E15" s="1924"/>
      <c r="F15" s="1924"/>
      <c r="G15" s="1924"/>
      <c r="H15" s="1924"/>
      <c r="I15" s="1924"/>
      <c r="J15" s="1924"/>
      <c r="K15" s="1925"/>
      <c r="L15" s="1924"/>
      <c r="M15" s="1924"/>
      <c r="N15" s="1924"/>
      <c r="O15" s="1924"/>
      <c r="P15" s="1924"/>
      <c r="Q15" s="1924"/>
      <c r="R15" s="1924"/>
      <c r="S15" s="1924"/>
      <c r="T15" s="1924"/>
      <c r="U15" s="1924"/>
      <c r="V15" s="1924"/>
      <c r="W15" s="1924"/>
      <c r="X15" s="1924"/>
      <c r="Y15" s="1924"/>
      <c r="Z15" s="1924"/>
      <c r="AA15" s="1924"/>
      <c r="AB15" s="1924"/>
      <c r="AC15" s="1924"/>
      <c r="AD15" s="1924"/>
      <c r="AE15" s="1924"/>
      <c r="AF15" s="1924"/>
      <c r="AG15" s="1924"/>
      <c r="AH15" s="1926"/>
    </row>
    <row r="16" spans="2:36" ht="35.1" customHeight="1" x14ac:dyDescent="0.3">
      <c r="B16" s="1245" t="s">
        <v>1357</v>
      </c>
      <c r="C16" s="76" t="s">
        <v>1358</v>
      </c>
      <c r="D16" s="1184"/>
      <c r="E16" s="1185"/>
      <c r="F16" s="1186"/>
      <c r="G16" s="1185"/>
      <c r="H16" s="1185"/>
      <c r="I16" s="1185"/>
      <c r="J16" s="1185"/>
      <c r="K16" s="1185"/>
      <c r="L16" s="1185"/>
      <c r="M16" s="1187"/>
      <c r="N16" s="1185"/>
      <c r="O16" s="1187"/>
      <c r="P16" s="1187"/>
      <c r="Q16" s="1187"/>
      <c r="R16" s="1188"/>
      <c r="S16" s="1189"/>
      <c r="T16" s="1188"/>
      <c r="U16" s="1190"/>
      <c r="V16" s="1188"/>
      <c r="W16" s="1190"/>
      <c r="X16" s="1190"/>
      <c r="Y16" s="1190"/>
      <c r="Z16" s="1190"/>
      <c r="AA16" s="1191"/>
      <c r="AB16" s="1190"/>
      <c r="AC16" s="1190"/>
      <c r="AD16" s="1190"/>
      <c r="AE16" s="1191"/>
      <c r="AF16" s="1190"/>
      <c r="AG16" s="1190"/>
      <c r="AH16" s="1247"/>
    </row>
    <row r="17" spans="2:34" ht="61.5" customHeight="1" x14ac:dyDescent="0.3">
      <c r="B17" s="1245" t="s">
        <v>1359</v>
      </c>
      <c r="C17" s="77" t="s">
        <v>1360</v>
      </c>
      <c r="D17" s="1192"/>
      <c r="E17" s="1193"/>
      <c r="F17" s="1194"/>
      <c r="G17" s="1193"/>
      <c r="H17" s="1193"/>
      <c r="I17" s="1193"/>
      <c r="J17" s="1193"/>
      <c r="K17" s="1193"/>
      <c r="L17" s="1193"/>
      <c r="M17" s="1195"/>
      <c r="N17" s="1193"/>
      <c r="O17" s="1195"/>
      <c r="P17" s="1195"/>
      <c r="Q17" s="1195"/>
      <c r="R17" s="1196"/>
      <c r="S17" s="1197"/>
      <c r="T17" s="1196"/>
      <c r="U17" s="1198"/>
      <c r="V17" s="1196"/>
      <c r="W17" s="1198"/>
      <c r="X17" s="1198"/>
      <c r="Y17" s="1198"/>
      <c r="Z17" s="1198"/>
      <c r="AA17" s="1199"/>
      <c r="AB17" s="1198"/>
      <c r="AC17" s="1198"/>
      <c r="AD17" s="1198"/>
      <c r="AE17" s="1199"/>
      <c r="AF17" s="1198"/>
      <c r="AG17" s="1198"/>
      <c r="AH17" s="1248"/>
    </row>
    <row r="18" spans="2:34" ht="65.099999999999994" customHeight="1" x14ac:dyDescent="0.3">
      <c r="B18" s="1246"/>
      <c r="C18" s="78" t="s">
        <v>1361</v>
      </c>
      <c r="D18" s="1200"/>
      <c r="E18" s="1201"/>
      <c r="F18" s="1194"/>
      <c r="G18" s="1201"/>
      <c r="H18" s="1201"/>
      <c r="I18" s="1201"/>
      <c r="J18" s="1201"/>
      <c r="K18" s="1201"/>
      <c r="L18" s="1201"/>
      <c r="M18" s="1195"/>
      <c r="N18" s="1201"/>
      <c r="O18" s="1195"/>
      <c r="P18" s="1195"/>
      <c r="Q18" s="1195"/>
      <c r="R18" s="1195"/>
      <c r="S18" s="1202"/>
      <c r="T18" s="1195"/>
      <c r="U18" s="1199"/>
      <c r="V18" s="1195"/>
      <c r="W18" s="1199"/>
      <c r="X18" s="1199"/>
      <c r="Y18" s="1199"/>
      <c r="Z18" s="1199"/>
      <c r="AA18" s="1199"/>
      <c r="AB18" s="1199"/>
      <c r="AC18" s="1199"/>
      <c r="AD18" s="1199"/>
      <c r="AE18" s="1199"/>
      <c r="AF18" s="1199"/>
      <c r="AG18" s="1199"/>
      <c r="AH18" s="1249"/>
    </row>
    <row r="19" spans="2:34" s="1172" customFormat="1" ht="35.1" customHeight="1" x14ac:dyDescent="0.3">
      <c r="B19" s="1245" t="s">
        <v>1362</v>
      </c>
      <c r="C19" s="1533" t="s">
        <v>1363</v>
      </c>
      <c r="D19" s="1203"/>
      <c r="E19" s="1193"/>
      <c r="F19" s="1201"/>
      <c r="G19" s="1193"/>
      <c r="H19" s="1193"/>
      <c r="I19" s="1193"/>
      <c r="J19" s="1193"/>
      <c r="K19" s="1193"/>
      <c r="L19" s="1193"/>
      <c r="M19" s="1201"/>
      <c r="N19" s="1193"/>
      <c r="O19" s="1201"/>
      <c r="P19" s="1195"/>
      <c r="Q19" s="1201"/>
      <c r="R19" s="1193"/>
      <c r="S19" s="1193"/>
      <c r="T19" s="1193"/>
      <c r="U19" s="1193"/>
      <c r="V19" s="1193"/>
      <c r="W19" s="1193"/>
      <c r="X19" s="1193"/>
      <c r="Y19" s="1193"/>
      <c r="Z19" s="1193"/>
      <c r="AA19" s="1201"/>
      <c r="AB19" s="1193"/>
      <c r="AC19" s="1193"/>
      <c r="AD19" s="1193"/>
      <c r="AE19" s="1201"/>
      <c r="AF19" s="1193"/>
      <c r="AG19" s="1193"/>
      <c r="AH19" s="1248"/>
    </row>
    <row r="20" spans="2:34" s="1172" customFormat="1" ht="35.1" customHeight="1" x14ac:dyDescent="0.3">
      <c r="B20" s="1250" t="s">
        <v>1364</v>
      </c>
      <c r="C20" s="79" t="s">
        <v>1365</v>
      </c>
      <c r="D20" s="1203"/>
      <c r="E20" s="1193"/>
      <c r="F20" s="1201"/>
      <c r="G20" s="1193"/>
      <c r="H20" s="1193"/>
      <c r="I20" s="1193"/>
      <c r="J20" s="1193"/>
      <c r="K20" s="1193"/>
      <c r="L20" s="1193"/>
      <c r="M20" s="1201"/>
      <c r="N20" s="1193"/>
      <c r="O20" s="1201"/>
      <c r="P20" s="1195"/>
      <c r="Q20" s="1201"/>
      <c r="R20" s="1193"/>
      <c r="S20" s="1193"/>
      <c r="T20" s="1193"/>
      <c r="U20" s="1193"/>
      <c r="V20" s="1193"/>
      <c r="W20" s="1193"/>
      <c r="X20" s="1193"/>
      <c r="Y20" s="1193"/>
      <c r="Z20" s="1193"/>
      <c r="AA20" s="1201"/>
      <c r="AB20" s="1193"/>
      <c r="AC20" s="1193"/>
      <c r="AD20" s="1193"/>
      <c r="AE20" s="1201"/>
      <c r="AF20" s="1193"/>
      <c r="AG20" s="1193"/>
      <c r="AH20" s="1248"/>
    </row>
    <row r="21" spans="2:34" s="1172" customFormat="1" ht="64.5" customHeight="1" x14ac:dyDescent="0.3">
      <c r="B21" s="1251" t="s">
        <v>1366</v>
      </c>
      <c r="C21" s="1533" t="s">
        <v>1367</v>
      </c>
      <c r="D21" s="1203"/>
      <c r="E21" s="1193"/>
      <c r="F21" s="1201"/>
      <c r="G21" s="1193"/>
      <c r="H21" s="1193"/>
      <c r="I21" s="1193"/>
      <c r="J21" s="1193"/>
      <c r="K21" s="1193"/>
      <c r="L21" s="1193"/>
      <c r="M21" s="1201"/>
      <c r="N21" s="1193"/>
      <c r="O21" s="1201"/>
      <c r="P21" s="1195"/>
      <c r="Q21" s="1201"/>
      <c r="R21" s="1193"/>
      <c r="S21" s="1193"/>
      <c r="T21" s="1193"/>
      <c r="U21" s="1193"/>
      <c r="V21" s="1193"/>
      <c r="W21" s="1193"/>
      <c r="X21" s="1193"/>
      <c r="Y21" s="1193"/>
      <c r="Z21" s="1193"/>
      <c r="AA21" s="1201"/>
      <c r="AB21" s="1193"/>
      <c r="AC21" s="1193"/>
      <c r="AD21" s="1193"/>
      <c r="AE21" s="1201"/>
      <c r="AF21" s="1193"/>
      <c r="AG21" s="1193"/>
      <c r="AH21" s="1248"/>
    </row>
    <row r="22" spans="2:34" ht="65.099999999999994" customHeight="1" x14ac:dyDescent="0.3">
      <c r="B22" s="1252" t="s">
        <v>1368</v>
      </c>
      <c r="C22" s="1534" t="s">
        <v>1369</v>
      </c>
      <c r="D22" s="1203"/>
      <c r="E22" s="1193"/>
      <c r="F22" s="1193"/>
      <c r="G22" s="1193"/>
      <c r="H22" s="1193"/>
      <c r="I22" s="1193"/>
      <c r="J22" s="1193"/>
      <c r="K22" s="1193"/>
      <c r="L22" s="1193"/>
      <c r="M22" s="1193"/>
      <c r="N22" s="1193"/>
      <c r="O22" s="1193"/>
      <c r="P22" s="1193"/>
      <c r="Q22" s="1193"/>
      <c r="R22" s="1196"/>
      <c r="S22" s="1197"/>
      <c r="T22" s="1196"/>
      <c r="U22" s="1198"/>
      <c r="V22" s="1196"/>
      <c r="W22" s="1198"/>
      <c r="X22" s="1198"/>
      <c r="Y22" s="1198"/>
      <c r="Z22" s="1198"/>
      <c r="AA22" s="1198"/>
      <c r="AB22" s="1198"/>
      <c r="AC22" s="1198"/>
      <c r="AD22" s="1198"/>
      <c r="AE22" s="1198"/>
      <c r="AF22" s="1198"/>
      <c r="AG22" s="1198"/>
      <c r="AH22" s="1248"/>
    </row>
    <row r="23" spans="2:34" ht="43.5" customHeight="1" x14ac:dyDescent="0.25">
      <c r="B23" s="1252" t="s">
        <v>1370</v>
      </c>
      <c r="C23" s="1534" t="s">
        <v>1371</v>
      </c>
      <c r="D23" s="1204"/>
      <c r="E23" s="1205"/>
      <c r="F23" s="1206"/>
      <c r="G23" s="1207"/>
      <c r="H23" s="1208"/>
      <c r="I23" s="1208"/>
      <c r="J23" s="1208"/>
      <c r="K23" s="1208"/>
      <c r="L23" s="1209"/>
      <c r="M23" s="1209"/>
      <c r="N23" s="1209"/>
      <c r="O23" s="1210"/>
      <c r="P23" s="1210"/>
      <c r="Q23" s="1207"/>
      <c r="R23" s="1207"/>
      <c r="S23" s="1207"/>
      <c r="T23" s="1207"/>
      <c r="U23" s="1207"/>
      <c r="V23" s="1207"/>
      <c r="W23" s="1207"/>
      <c r="X23" s="1207"/>
      <c r="Y23" s="1207"/>
      <c r="Z23" s="1207"/>
      <c r="AA23" s="1207"/>
      <c r="AB23" s="1207"/>
      <c r="AC23" s="1207"/>
      <c r="AD23" s="1211"/>
      <c r="AE23" s="1207"/>
      <c r="AF23" s="1211"/>
      <c r="AG23" s="1211"/>
      <c r="AH23" s="1253"/>
    </row>
    <row r="24" spans="2:34" ht="91.5" customHeight="1" x14ac:dyDescent="0.25">
      <c r="B24" s="1254"/>
      <c r="C24" s="75" t="s">
        <v>1372</v>
      </c>
      <c r="D24" s="1542"/>
      <c r="E24" s="1542"/>
      <c r="F24" s="1542"/>
      <c r="G24" s="1542"/>
      <c r="H24" s="1542"/>
      <c r="I24" s="1542"/>
      <c r="J24" s="1542"/>
      <c r="K24" s="1542"/>
      <c r="L24" s="1542"/>
      <c r="M24" s="1542"/>
      <c r="N24" s="1542"/>
      <c r="O24" s="1542"/>
      <c r="P24" s="1542"/>
      <c r="Q24" s="1542"/>
      <c r="R24" s="1542"/>
      <c r="S24" s="1542"/>
      <c r="T24" s="1542"/>
      <c r="U24" s="1542"/>
      <c r="V24" s="1542"/>
      <c r="W24" s="1542"/>
      <c r="X24" s="1542"/>
      <c r="Y24" s="1542"/>
      <c r="Z24" s="1542"/>
      <c r="AA24" s="1542"/>
      <c r="AB24" s="1542"/>
      <c r="AC24" s="1542"/>
      <c r="AD24" s="1542"/>
      <c r="AE24" s="1542"/>
      <c r="AF24" s="1542"/>
      <c r="AG24" s="1542"/>
      <c r="AH24" s="1543"/>
    </row>
    <row r="25" spans="2:34" ht="35.1" customHeight="1" x14ac:dyDescent="0.25">
      <c r="B25" s="1252" t="s">
        <v>1373</v>
      </c>
      <c r="C25" s="81" t="s">
        <v>1374</v>
      </c>
      <c r="D25" s="1212"/>
      <c r="E25" s="1213"/>
      <c r="F25" s="1214"/>
      <c r="G25" s="1215"/>
      <c r="H25" s="1214"/>
      <c r="I25" s="1214"/>
      <c r="J25" s="1214"/>
      <c r="K25" s="1214"/>
      <c r="L25" s="1216"/>
      <c r="M25" s="1216"/>
      <c r="N25" s="1216"/>
      <c r="O25" s="1217"/>
      <c r="P25" s="1217"/>
      <c r="Q25" s="1215"/>
      <c r="R25" s="1215"/>
      <c r="S25" s="1215"/>
      <c r="T25" s="1215"/>
      <c r="U25" s="1215"/>
      <c r="V25" s="1215"/>
      <c r="W25" s="1215"/>
      <c r="X25" s="1215"/>
      <c r="Y25" s="1215"/>
      <c r="Z25" s="1215"/>
      <c r="AA25" s="1215"/>
      <c r="AB25" s="1215"/>
      <c r="AC25" s="1215"/>
      <c r="AD25" s="1218"/>
      <c r="AE25" s="1215"/>
      <c r="AF25" s="1218"/>
      <c r="AG25" s="1218"/>
      <c r="AH25" s="1255"/>
    </row>
    <row r="26" spans="2:34" ht="35.1" customHeight="1" x14ac:dyDescent="0.2">
      <c r="B26" s="1252" t="s">
        <v>1375</v>
      </c>
      <c r="C26" s="81">
        <v>0.5</v>
      </c>
      <c r="D26" s="1219"/>
      <c r="E26" s="1220"/>
      <c r="F26" s="1221"/>
      <c r="G26" s="1222"/>
      <c r="H26" s="1221"/>
      <c r="I26" s="1221"/>
      <c r="J26" s="1221"/>
      <c r="K26" s="1221"/>
      <c r="L26" s="1223"/>
      <c r="M26" s="1223"/>
      <c r="N26" s="1223"/>
      <c r="O26" s="1224"/>
      <c r="P26" s="1224"/>
      <c r="Q26" s="1222"/>
      <c r="R26" s="1222"/>
      <c r="S26" s="1222"/>
      <c r="T26" s="1222"/>
      <c r="U26" s="1222"/>
      <c r="V26" s="1222"/>
      <c r="W26" s="1222"/>
      <c r="X26" s="1222"/>
      <c r="Y26" s="1222"/>
      <c r="Z26" s="1222"/>
      <c r="AA26" s="1222"/>
      <c r="AB26" s="1222"/>
      <c r="AC26" s="1222"/>
      <c r="AD26" s="1225"/>
      <c r="AE26" s="1222"/>
      <c r="AF26" s="1225"/>
      <c r="AG26" s="1225"/>
      <c r="AH26" s="1256"/>
    </row>
    <row r="27" spans="2:34" ht="35.1" customHeight="1" x14ac:dyDescent="0.2">
      <c r="B27" s="1252" t="s">
        <v>1376</v>
      </c>
      <c r="C27" s="81">
        <v>0.7</v>
      </c>
      <c r="D27" s="1219"/>
      <c r="E27" s="1220"/>
      <c r="F27" s="1221"/>
      <c r="G27" s="1222"/>
      <c r="H27" s="1221"/>
      <c r="I27" s="1221"/>
      <c r="J27" s="1221"/>
      <c r="K27" s="1221"/>
      <c r="L27" s="1223"/>
      <c r="M27" s="1223"/>
      <c r="N27" s="1223"/>
      <c r="O27" s="1224"/>
      <c r="P27" s="1224"/>
      <c r="Q27" s="1222"/>
      <c r="R27" s="1222"/>
      <c r="S27" s="1222"/>
      <c r="T27" s="1222"/>
      <c r="U27" s="1222"/>
      <c r="V27" s="1222"/>
      <c r="W27" s="1222"/>
      <c r="X27" s="1222"/>
      <c r="Y27" s="1222"/>
      <c r="Z27" s="1222"/>
      <c r="AA27" s="1222"/>
      <c r="AB27" s="1222"/>
      <c r="AC27" s="1222"/>
      <c r="AD27" s="1225"/>
      <c r="AE27" s="1222"/>
      <c r="AF27" s="1225"/>
      <c r="AG27" s="1225"/>
      <c r="AH27" s="1256"/>
    </row>
    <row r="28" spans="2:34" ht="35.1" customHeight="1" x14ac:dyDescent="0.25">
      <c r="B28" s="1252" t="s">
        <v>1377</v>
      </c>
      <c r="C28" s="81" t="s">
        <v>1378</v>
      </c>
      <c r="D28" s="1219"/>
      <c r="E28" s="1220"/>
      <c r="F28" s="1221"/>
      <c r="G28" s="1222"/>
      <c r="H28" s="1221"/>
      <c r="I28" s="1221"/>
      <c r="J28" s="1221"/>
      <c r="K28" s="1221"/>
      <c r="L28" s="1223"/>
      <c r="M28" s="1223"/>
      <c r="N28" s="1223"/>
      <c r="O28" s="1224"/>
      <c r="P28" s="1224"/>
      <c r="Q28" s="1222"/>
      <c r="R28" s="1222"/>
      <c r="S28" s="1222"/>
      <c r="T28" s="1222"/>
      <c r="U28" s="1222"/>
      <c r="V28" s="1222"/>
      <c r="W28" s="1222"/>
      <c r="X28" s="1222"/>
      <c r="Y28" s="1222"/>
      <c r="Z28" s="1222"/>
      <c r="AA28" s="1222"/>
      <c r="AB28" s="1222"/>
      <c r="AC28" s="1222"/>
      <c r="AD28" s="1225"/>
      <c r="AE28" s="1222"/>
      <c r="AF28" s="1225"/>
      <c r="AG28" s="1225"/>
      <c r="AH28" s="1256"/>
    </row>
    <row r="29" spans="2:34" ht="35.1" customHeight="1" x14ac:dyDescent="0.2">
      <c r="B29" s="1252" t="s">
        <v>1379</v>
      </c>
      <c r="C29" s="81">
        <v>0.9</v>
      </c>
      <c r="D29" s="1219"/>
      <c r="E29" s="1220"/>
      <c r="F29" s="1221"/>
      <c r="G29" s="1222"/>
      <c r="H29" s="1221"/>
      <c r="I29" s="1221"/>
      <c r="J29" s="1221"/>
      <c r="K29" s="1221"/>
      <c r="L29" s="1223"/>
      <c r="M29" s="1223"/>
      <c r="N29" s="1223"/>
      <c r="O29" s="1224"/>
      <c r="P29" s="1224"/>
      <c r="Q29" s="1222"/>
      <c r="R29" s="1222"/>
      <c r="S29" s="1222"/>
      <c r="T29" s="1222"/>
      <c r="U29" s="1222"/>
      <c r="V29" s="1222"/>
      <c r="W29" s="1222"/>
      <c r="X29" s="1222"/>
      <c r="Y29" s="1222"/>
      <c r="Z29" s="1222"/>
      <c r="AA29" s="1222"/>
      <c r="AB29" s="1222"/>
      <c r="AC29" s="1222"/>
      <c r="AD29" s="1225"/>
      <c r="AE29" s="1222"/>
      <c r="AF29" s="1225"/>
      <c r="AG29" s="1225"/>
      <c r="AH29" s="1256"/>
    </row>
    <row r="30" spans="2:34" ht="35.1" customHeight="1" x14ac:dyDescent="0.2">
      <c r="B30" s="1252" t="s">
        <v>1380</v>
      </c>
      <c r="C30" s="81">
        <v>1.1499999999999999</v>
      </c>
      <c r="D30" s="1219"/>
      <c r="E30" s="1220"/>
      <c r="F30" s="1221"/>
      <c r="G30" s="1222"/>
      <c r="H30" s="1221"/>
      <c r="I30" s="1221"/>
      <c r="J30" s="1221"/>
      <c r="K30" s="1221"/>
      <c r="L30" s="1223"/>
      <c r="M30" s="1223"/>
      <c r="N30" s="1223"/>
      <c r="O30" s="1224"/>
      <c r="P30" s="1224"/>
      <c r="Q30" s="1222"/>
      <c r="R30" s="1222"/>
      <c r="S30" s="1222"/>
      <c r="T30" s="1222"/>
      <c r="U30" s="1222"/>
      <c r="V30" s="1222"/>
      <c r="W30" s="1222"/>
      <c r="X30" s="1222"/>
      <c r="Y30" s="1222"/>
      <c r="Z30" s="1222"/>
      <c r="AA30" s="1222"/>
      <c r="AB30" s="1222"/>
      <c r="AC30" s="1222"/>
      <c r="AD30" s="1225"/>
      <c r="AE30" s="1222"/>
      <c r="AF30" s="1225"/>
      <c r="AG30" s="1225"/>
      <c r="AH30" s="1256"/>
    </row>
    <row r="31" spans="2:34" ht="35.1" customHeight="1" x14ac:dyDescent="0.2">
      <c r="B31" s="1252" t="s">
        <v>1381</v>
      </c>
      <c r="C31" s="81">
        <v>2.5</v>
      </c>
      <c r="D31" s="1219"/>
      <c r="E31" s="1220"/>
      <c r="F31" s="1221"/>
      <c r="G31" s="1222"/>
      <c r="H31" s="1221"/>
      <c r="I31" s="1221"/>
      <c r="J31" s="1221"/>
      <c r="K31" s="1221"/>
      <c r="L31" s="1223"/>
      <c r="M31" s="1223"/>
      <c r="N31" s="1223"/>
      <c r="O31" s="1224"/>
      <c r="P31" s="1224"/>
      <c r="Q31" s="1222"/>
      <c r="R31" s="1222"/>
      <c r="S31" s="1222"/>
      <c r="T31" s="1222"/>
      <c r="U31" s="1222"/>
      <c r="V31" s="1222"/>
      <c r="W31" s="1222"/>
      <c r="X31" s="1222"/>
      <c r="Y31" s="1222"/>
      <c r="Z31" s="1222"/>
      <c r="AA31" s="1222"/>
      <c r="AB31" s="1222"/>
      <c r="AC31" s="1222"/>
      <c r="AD31" s="1225"/>
      <c r="AE31" s="1222"/>
      <c r="AF31" s="1225"/>
      <c r="AG31" s="1225"/>
      <c r="AH31" s="1256"/>
    </row>
    <row r="32" spans="2:34" ht="55.5" customHeight="1" x14ac:dyDescent="0.2">
      <c r="B32" s="1252" t="s">
        <v>1382</v>
      </c>
      <c r="C32" s="80" t="s">
        <v>1383</v>
      </c>
      <c r="D32" s="1226"/>
      <c r="E32" s="1227"/>
      <c r="F32" s="1228"/>
      <c r="G32" s="1228"/>
      <c r="H32" s="1228"/>
      <c r="I32" s="1228"/>
      <c r="J32" s="1228"/>
      <c r="K32" s="1228"/>
      <c r="L32" s="1229"/>
      <c r="M32" s="1229"/>
      <c r="N32" s="1229"/>
      <c r="O32" s="1224"/>
      <c r="P32" s="1224"/>
      <c r="Q32" s="1222"/>
      <c r="R32" s="1222"/>
      <c r="S32" s="1222"/>
      <c r="T32" s="1222"/>
      <c r="U32" s="1222"/>
      <c r="V32" s="1222"/>
      <c r="W32" s="1222"/>
      <c r="X32" s="1222"/>
      <c r="Y32" s="1222"/>
      <c r="Z32" s="1222"/>
      <c r="AA32" s="1222"/>
      <c r="AB32" s="1222"/>
      <c r="AC32" s="1222"/>
      <c r="AD32" s="1225"/>
      <c r="AE32" s="1222"/>
      <c r="AF32" s="1230"/>
      <c r="AG32" s="1225"/>
      <c r="AH32" s="1256"/>
    </row>
    <row r="33" spans="2:34" ht="117" customHeight="1" x14ac:dyDescent="0.25">
      <c r="B33" s="1252" t="s">
        <v>1384</v>
      </c>
      <c r="C33" s="1534" t="s">
        <v>1385</v>
      </c>
      <c r="D33" s="1231"/>
      <c r="E33" s="1232"/>
      <c r="F33" s="1233"/>
      <c r="G33" s="1232"/>
      <c r="H33" s="1232"/>
      <c r="I33" s="1232"/>
      <c r="J33" s="1232"/>
      <c r="K33" s="1232"/>
      <c r="L33" s="1232"/>
      <c r="M33" s="1232"/>
      <c r="N33" s="1232"/>
      <c r="O33" s="1232"/>
      <c r="P33" s="1232"/>
      <c r="Q33" s="1233"/>
      <c r="R33" s="1230"/>
      <c r="S33" s="1230"/>
      <c r="T33" s="1230"/>
      <c r="U33" s="1230"/>
      <c r="V33" s="1230"/>
      <c r="W33" s="1230"/>
      <c r="X33" s="1230"/>
      <c r="Y33" s="1230"/>
      <c r="Z33" s="1230"/>
      <c r="AA33" s="1230"/>
      <c r="AB33" s="1230"/>
      <c r="AC33" s="1230"/>
      <c r="AD33" s="1234"/>
      <c r="AE33" s="1230"/>
      <c r="AF33" s="1230"/>
      <c r="AG33" s="1234"/>
      <c r="AH33" s="1257"/>
    </row>
    <row r="34" spans="2:34" ht="54" customHeight="1" thickBot="1" x14ac:dyDescent="0.3">
      <c r="B34" s="1258" t="s">
        <v>1386</v>
      </c>
      <c r="C34" s="1535" t="s">
        <v>1387</v>
      </c>
      <c r="D34" s="1235"/>
      <c r="E34" s="1236"/>
      <c r="F34" s="1237"/>
      <c r="G34" s="1236"/>
      <c r="H34" s="1236"/>
      <c r="I34" s="1236"/>
      <c r="J34" s="1236"/>
      <c r="K34" s="1236"/>
      <c r="L34" s="1236"/>
      <c r="M34" s="1237"/>
      <c r="N34" s="1236"/>
      <c r="O34" s="1237"/>
      <c r="P34" s="1238"/>
      <c r="Q34" s="1239"/>
      <c r="R34" s="1238"/>
      <c r="S34" s="1238"/>
      <c r="T34" s="1238"/>
      <c r="U34" s="1238"/>
      <c r="V34" s="1238"/>
      <c r="W34" s="1238"/>
      <c r="X34" s="1238"/>
      <c r="Y34" s="1238"/>
      <c r="Z34" s="1238"/>
      <c r="AA34" s="1239"/>
      <c r="AB34" s="1238"/>
      <c r="AC34" s="1238"/>
      <c r="AD34" s="1238"/>
      <c r="AE34" s="1239"/>
      <c r="AF34" s="1240"/>
      <c r="AG34" s="1238"/>
      <c r="AH34" s="1259"/>
    </row>
  </sheetData>
  <mergeCells count="42">
    <mergeCell ref="D15:AH15"/>
    <mergeCell ref="U9:U11"/>
    <mergeCell ref="AD9:AD11"/>
    <mergeCell ref="AE9:AE11"/>
    <mergeCell ref="V10:V11"/>
    <mergeCell ref="W10:W11"/>
    <mergeCell ref="X10:X11"/>
    <mergeCell ref="O9:O11"/>
    <mergeCell ref="P9:P11"/>
    <mergeCell ref="Q9:Q11"/>
    <mergeCell ref="Z7:Z11"/>
    <mergeCell ref="AA7:AA11"/>
    <mergeCell ref="J9:J11"/>
    <mergeCell ref="AD7:AE8"/>
    <mergeCell ref="AF7:AH7"/>
    <mergeCell ref="R9:R11"/>
    <mergeCell ref="AG8:AG11"/>
    <mergeCell ref="AH8:AH11"/>
    <mergeCell ref="AF8:AF11"/>
    <mergeCell ref="R8:S8"/>
    <mergeCell ref="T8:X8"/>
    <mergeCell ref="Y8:Y11"/>
    <mergeCell ref="AC7:AC11"/>
    <mergeCell ref="S9:S11"/>
    <mergeCell ref="T9:T11"/>
    <mergeCell ref="B7:C12"/>
    <mergeCell ref="D7:D8"/>
    <mergeCell ref="E7:F8"/>
    <mergeCell ref="L7:L11"/>
    <mergeCell ref="N7:N11"/>
    <mergeCell ref="D9:D11"/>
    <mergeCell ref="E9:E11"/>
    <mergeCell ref="F9:F11"/>
    <mergeCell ref="G9:G11"/>
    <mergeCell ref="H9:H11"/>
    <mergeCell ref="G8:H8"/>
    <mergeCell ref="I8:I11"/>
    <mergeCell ref="O7:Q8"/>
    <mergeCell ref="R7:X7"/>
    <mergeCell ref="K9:K11"/>
    <mergeCell ref="M9:M11"/>
    <mergeCell ref="AB7:AB11"/>
  </mergeCells>
  <conditionalFormatting sqref="C18:C21">
    <cfRule type="cellIs" dxfId="0" priority="1" stopIfTrue="1" operator="equal">
      <formula>#REF!</formula>
    </cfRule>
  </conditionalFormatting>
  <printOptions horizontalCentered="1" verticalCentered="1"/>
  <pageMargins left="0.11811023622047245" right="0.11811023622047245" top="0.78740157480314965" bottom="0.78740157480314965" header="0.31496062992125984" footer="0.31496062992125984"/>
  <pageSetup paperSize="9" scale="28" fitToWidth="2" pageOrder="overThenDown" orientation="landscape" r:id="rId1"/>
  <headerFooter>
    <oddHeader>&amp;CFR
ANNEXE I</oddHeader>
    <oddFooter>&amp;C&amp;P</oddFooter>
  </headerFooter>
  <colBreaks count="2" manualBreakCount="2">
    <brk id="17" max="1048575" man="1"/>
    <brk id="6553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AG13"/>
  <sheetViews>
    <sheetView showGridLines="0" view="pageBreakPreview" topLeftCell="I1" zoomScale="40" zoomScaleNormal="40" zoomScaleSheetLayoutView="40" zoomScalePageLayoutView="55" workbookViewId="0">
      <selection activeCell="S38" sqref="S38"/>
    </sheetView>
  </sheetViews>
  <sheetFormatPr defaultColWidth="11.44140625" defaultRowHeight="13.8" x14ac:dyDescent="0.25"/>
  <cols>
    <col min="1" max="1" width="15.6640625" style="1170" customWidth="1"/>
    <col min="2" max="2" width="39.109375" style="1170" customWidth="1"/>
    <col min="3" max="3" width="33.44140625" style="1170" customWidth="1"/>
    <col min="4" max="4" width="16.88671875" style="1170" customWidth="1"/>
    <col min="5" max="5" width="29.33203125" style="1170" customWidth="1"/>
    <col min="6" max="6" width="25.6640625" style="1170" customWidth="1"/>
    <col min="7" max="7" width="26.5546875" style="1170" customWidth="1"/>
    <col min="8" max="8" width="33.5546875" style="1170" customWidth="1"/>
    <col min="9" max="9" width="28" style="1170" customWidth="1"/>
    <col min="10" max="10" width="21.44140625" style="1170" customWidth="1"/>
    <col min="11" max="11" width="30.33203125" style="1170" customWidth="1"/>
    <col min="12" max="12" width="23.44140625" style="1170" customWidth="1"/>
    <col min="13" max="13" width="21.88671875" style="1170" customWidth="1"/>
    <col min="14" max="14" width="25.33203125" style="1170" customWidth="1"/>
    <col min="15" max="15" width="29.88671875" style="1170" customWidth="1"/>
    <col min="16" max="16" width="36.44140625" style="1170" customWidth="1"/>
    <col min="17" max="17" width="27.6640625" style="1170" customWidth="1"/>
    <col min="18" max="18" width="26.5546875" style="1170" customWidth="1"/>
    <col min="19" max="19" width="30.6640625" style="1170" customWidth="1"/>
    <col min="20" max="20" width="25.109375" style="1170" customWidth="1"/>
    <col min="21" max="21" width="22.6640625" style="1170" customWidth="1"/>
    <col min="22" max="22" width="28.5546875" style="1170" customWidth="1"/>
    <col min="23" max="23" width="26.109375" style="1170" customWidth="1"/>
    <col min="24" max="24" width="28" style="1170" customWidth="1"/>
    <col min="25" max="26" width="31.5546875" style="1170" customWidth="1"/>
    <col min="27" max="28" width="27.6640625" style="1170" customWidth="1"/>
    <col min="29" max="29" width="35.6640625" style="1170" customWidth="1"/>
    <col min="30" max="30" width="32.88671875" style="1170" customWidth="1"/>
    <col min="31" max="31" width="25.44140625" style="1170" customWidth="1"/>
    <col min="32" max="32" width="27.88671875" style="1170" customWidth="1"/>
    <col min="33" max="33" width="27" style="1170" customWidth="1"/>
    <col min="34" max="16384" width="11.44140625" style="1170"/>
  </cols>
  <sheetData>
    <row r="1" spans="2:33" s="1242" customFormat="1" ht="14.25" x14ac:dyDescent="0.2"/>
    <row r="2" spans="2:33" ht="216.75" customHeight="1" x14ac:dyDescent="0.25">
      <c r="B2" s="1952" t="s">
        <v>1388</v>
      </c>
      <c r="C2" s="1964"/>
      <c r="D2" s="1964"/>
      <c r="E2" s="1964"/>
      <c r="F2" s="1964"/>
      <c r="G2" s="1964"/>
      <c r="H2" s="1964"/>
      <c r="I2" s="1964"/>
      <c r="J2" s="1964"/>
      <c r="K2" s="1964"/>
      <c r="L2" s="1964"/>
      <c r="M2" s="1964"/>
      <c r="N2" s="1964"/>
      <c r="O2" s="1964"/>
      <c r="P2" s="1965"/>
      <c r="Q2" s="1951" t="s">
        <v>1389</v>
      </c>
      <c r="R2" s="1952"/>
      <c r="S2" s="1952"/>
      <c r="T2" s="1952"/>
      <c r="U2" s="1952"/>
      <c r="V2" s="1952"/>
      <c r="W2" s="1952"/>
      <c r="X2" s="1952"/>
      <c r="Y2" s="1952"/>
      <c r="Z2" s="1952"/>
      <c r="AA2" s="1952"/>
      <c r="AB2" s="1952"/>
      <c r="AC2" s="1952"/>
      <c r="AD2" s="1952"/>
      <c r="AE2" s="1952"/>
      <c r="AF2" s="1952"/>
      <c r="AG2" s="1952"/>
    </row>
    <row r="3" spans="2:33" ht="19.5" customHeight="1" x14ac:dyDescent="0.2">
      <c r="B3" s="64"/>
      <c r="C3" s="64"/>
      <c r="D3" s="64"/>
      <c r="E3" s="64"/>
      <c r="F3" s="65"/>
      <c r="G3" s="65"/>
      <c r="H3" s="65"/>
      <c r="I3" s="65"/>
      <c r="J3" s="65"/>
      <c r="K3" s="65"/>
      <c r="L3" s="65"/>
      <c r="M3" s="65"/>
      <c r="N3" s="66"/>
      <c r="O3" s="66"/>
      <c r="P3" s="66"/>
      <c r="Q3" s="67"/>
      <c r="R3" s="67"/>
      <c r="S3" s="67"/>
      <c r="T3" s="67"/>
      <c r="U3" s="67"/>
      <c r="V3" s="67"/>
      <c r="W3" s="67"/>
      <c r="X3" s="67"/>
      <c r="Y3" s="67"/>
      <c r="Z3" s="67"/>
      <c r="AA3" s="67"/>
      <c r="AB3" s="67"/>
      <c r="AC3" s="67"/>
      <c r="AD3" s="67"/>
      <c r="AE3" s="67"/>
      <c r="AF3" s="67"/>
      <c r="AG3" s="67"/>
    </row>
    <row r="4" spans="2:33" ht="28.2" x14ac:dyDescent="0.45">
      <c r="B4" s="1639" t="s">
        <v>1390</v>
      </c>
      <c r="C4" s="64"/>
      <c r="D4" s="64"/>
      <c r="E4" s="64"/>
      <c r="H4" s="69"/>
      <c r="I4" s="1536"/>
      <c r="J4" s="69"/>
      <c r="K4" s="69"/>
      <c r="L4" s="69"/>
      <c r="M4" s="69"/>
      <c r="N4" s="66"/>
      <c r="O4" s="66"/>
      <c r="P4" s="66"/>
      <c r="Q4" s="1639" t="s">
        <v>1391</v>
      </c>
      <c r="R4" s="64"/>
      <c r="S4" s="64"/>
      <c r="T4" s="64"/>
      <c r="V4" s="67"/>
      <c r="W4" s="67"/>
      <c r="X4" s="67"/>
      <c r="Y4" s="1536"/>
      <c r="Z4" s="67"/>
      <c r="AA4" s="67"/>
      <c r="AB4" s="67"/>
      <c r="AC4" s="67"/>
      <c r="AD4" s="67"/>
      <c r="AE4" s="67"/>
      <c r="AF4" s="67"/>
      <c r="AG4" s="67"/>
    </row>
    <row r="5" spans="2:33" ht="28.2" x14ac:dyDescent="0.45">
      <c r="B5" s="1639" t="s">
        <v>1392</v>
      </c>
      <c r="C5" s="64"/>
      <c r="D5" s="64"/>
      <c r="E5" s="64"/>
      <c r="H5" s="69"/>
      <c r="I5" s="1536"/>
      <c r="J5" s="69"/>
      <c r="K5" s="69"/>
      <c r="L5" s="69"/>
      <c r="M5" s="69"/>
      <c r="N5" s="66"/>
      <c r="O5" s="66"/>
      <c r="P5" s="66"/>
      <c r="Q5" s="1639" t="s">
        <v>1393</v>
      </c>
      <c r="R5" s="64"/>
      <c r="S5" s="64"/>
      <c r="T5" s="64"/>
      <c r="V5" s="67"/>
      <c r="W5" s="67"/>
      <c r="X5" s="67"/>
      <c r="Y5" s="1536"/>
      <c r="Z5" s="67"/>
      <c r="AA5" s="67"/>
      <c r="AB5" s="67"/>
      <c r="AC5" s="67"/>
      <c r="AD5" s="67"/>
      <c r="AE5" s="67"/>
      <c r="AF5" s="67"/>
      <c r="AG5" s="67"/>
    </row>
    <row r="6" spans="2:33" s="1243" customFormat="1" ht="17.25" customHeight="1" thickBot="1" x14ac:dyDescent="0.25">
      <c r="B6" s="1241"/>
      <c r="C6" s="1241"/>
      <c r="D6" s="1241"/>
      <c r="E6" s="1241"/>
      <c r="F6" s="1241"/>
      <c r="G6" s="1241"/>
      <c r="H6" s="1241"/>
      <c r="I6" s="1241"/>
      <c r="J6" s="1241"/>
      <c r="K6" s="1241"/>
      <c r="L6" s="1241"/>
      <c r="M6" s="1241"/>
      <c r="N6" s="1241"/>
      <c r="O6" s="1241"/>
      <c r="P6" s="1241"/>
      <c r="Q6" s="1241"/>
      <c r="R6" s="1241"/>
      <c r="S6" s="1241"/>
      <c r="T6" s="1241"/>
      <c r="U6" s="1241"/>
      <c r="V6" s="1241"/>
      <c r="W6" s="1241"/>
      <c r="X6" s="1241"/>
      <c r="Y6" s="1241"/>
      <c r="Z6" s="1241"/>
      <c r="AA6" s="1241"/>
      <c r="AB6" s="1241"/>
      <c r="AC6" s="1241"/>
      <c r="AD6" s="1241"/>
      <c r="AE6" s="1241"/>
      <c r="AF6" s="1241"/>
      <c r="AG6" s="1241"/>
    </row>
    <row r="7" spans="2:33" ht="117.75" customHeight="1" x14ac:dyDescent="0.25">
      <c r="B7" s="1934" t="s">
        <v>1394</v>
      </c>
      <c r="C7" s="1934" t="s">
        <v>1395</v>
      </c>
      <c r="D7" s="1938" t="s">
        <v>1396</v>
      </c>
      <c r="E7" s="1943"/>
      <c r="F7" s="1645" t="s">
        <v>1397</v>
      </c>
      <c r="G7" s="1646"/>
      <c r="H7" s="1646"/>
      <c r="I7" s="1646"/>
      <c r="J7" s="1646"/>
      <c r="K7" s="1938" t="s">
        <v>1398</v>
      </c>
      <c r="L7" s="1647"/>
      <c r="M7" s="1938" t="s">
        <v>1399</v>
      </c>
      <c r="N7" s="1966"/>
      <c r="O7" s="1966"/>
      <c r="P7" s="1943"/>
      <c r="Q7" s="1953" t="s">
        <v>1400</v>
      </c>
      <c r="R7" s="1954"/>
      <c r="S7" s="1954"/>
      <c r="T7" s="1954"/>
      <c r="U7" s="1954"/>
      <c r="V7" s="1954"/>
      <c r="W7" s="1954"/>
      <c r="X7" s="1648" t="s">
        <v>1401</v>
      </c>
      <c r="Y7" s="1934" t="s">
        <v>1402</v>
      </c>
      <c r="Z7" s="1934" t="s">
        <v>1403</v>
      </c>
      <c r="AA7" s="1934" t="s">
        <v>1404</v>
      </c>
      <c r="AB7" s="1934" t="s">
        <v>1405</v>
      </c>
      <c r="AC7" s="1938" t="s">
        <v>1406</v>
      </c>
      <c r="AD7" s="1943"/>
      <c r="AE7" s="1953" t="s">
        <v>1407</v>
      </c>
      <c r="AF7" s="1959"/>
      <c r="AG7" s="1960"/>
    </row>
    <row r="8" spans="2:33" ht="100.5" customHeight="1" x14ac:dyDescent="0.3">
      <c r="B8" s="1935"/>
      <c r="C8" s="1937"/>
      <c r="D8" s="1939"/>
      <c r="E8" s="1944"/>
      <c r="F8" s="1940" t="s">
        <v>1408</v>
      </c>
      <c r="G8" s="1941"/>
      <c r="H8" s="1942" t="s">
        <v>1409</v>
      </c>
      <c r="I8" s="1649" t="s">
        <v>1410</v>
      </c>
      <c r="J8" s="1650"/>
      <c r="K8" s="1939"/>
      <c r="L8" s="1651"/>
      <c r="M8" s="1939"/>
      <c r="N8" s="1967"/>
      <c r="O8" s="1967"/>
      <c r="P8" s="1968"/>
      <c r="Q8" s="1940" t="s">
        <v>1411</v>
      </c>
      <c r="R8" s="1947"/>
      <c r="S8" s="1940" t="s">
        <v>1412</v>
      </c>
      <c r="T8" s="1963"/>
      <c r="U8" s="1963"/>
      <c r="V8" s="1963"/>
      <c r="W8" s="1963"/>
      <c r="X8" s="1935" t="s">
        <v>1413</v>
      </c>
      <c r="Y8" s="1935"/>
      <c r="Z8" s="1949"/>
      <c r="AA8" s="1935"/>
      <c r="AB8" s="1935"/>
      <c r="AC8" s="1948"/>
      <c r="AD8" s="1944"/>
      <c r="AE8" s="1942" t="s">
        <v>1414</v>
      </c>
      <c r="AF8" s="1942" t="s">
        <v>1415</v>
      </c>
      <c r="AG8" s="1961" t="s">
        <v>1416</v>
      </c>
    </row>
    <row r="9" spans="2:33" ht="19.5" customHeight="1" x14ac:dyDescent="0.25">
      <c r="B9" s="1936"/>
      <c r="C9" s="1935" t="s">
        <v>1417</v>
      </c>
      <c r="D9" s="1935"/>
      <c r="E9" s="1942" t="s">
        <v>1418</v>
      </c>
      <c r="F9" s="1942" t="s">
        <v>1419</v>
      </c>
      <c r="G9" s="1942" t="s">
        <v>1420</v>
      </c>
      <c r="H9" s="1935"/>
      <c r="I9" s="1942" t="s">
        <v>1421</v>
      </c>
      <c r="J9" s="1942" t="s">
        <v>1422</v>
      </c>
      <c r="K9" s="1935"/>
      <c r="L9" s="1935" t="s">
        <v>1423</v>
      </c>
      <c r="M9" s="1935"/>
      <c r="N9" s="1935" t="s">
        <v>1424</v>
      </c>
      <c r="O9" s="1935" t="s">
        <v>1425</v>
      </c>
      <c r="P9" s="1942" t="s">
        <v>1426</v>
      </c>
      <c r="Q9" s="1942" t="s">
        <v>1427</v>
      </c>
      <c r="R9" s="1942" t="s">
        <v>1428</v>
      </c>
      <c r="S9" s="1935" t="s">
        <v>1429</v>
      </c>
      <c r="T9" s="1935" t="s">
        <v>1430</v>
      </c>
      <c r="U9" s="1652" t="s">
        <v>1431</v>
      </c>
      <c r="V9" s="1652"/>
      <c r="W9" s="1652"/>
      <c r="X9" s="1935"/>
      <c r="Y9" s="1935"/>
      <c r="Z9" s="1949"/>
      <c r="AA9" s="1935"/>
      <c r="AB9" s="1935"/>
      <c r="AC9" s="1653"/>
      <c r="AD9" s="1942" t="s">
        <v>1432</v>
      </c>
      <c r="AE9" s="1935"/>
      <c r="AF9" s="1955"/>
      <c r="AG9" s="1962"/>
    </row>
    <row r="10" spans="2:33" ht="18" customHeight="1" x14ac:dyDescent="0.25">
      <c r="B10" s="1936"/>
      <c r="C10" s="1935"/>
      <c r="D10" s="1935"/>
      <c r="E10" s="1935"/>
      <c r="F10" s="1935"/>
      <c r="G10" s="1935"/>
      <c r="H10" s="1935"/>
      <c r="I10" s="1935"/>
      <c r="J10" s="1935"/>
      <c r="K10" s="1935"/>
      <c r="L10" s="1935"/>
      <c r="M10" s="1935"/>
      <c r="N10" s="1935"/>
      <c r="O10" s="1935"/>
      <c r="P10" s="1935"/>
      <c r="Q10" s="1935"/>
      <c r="R10" s="1935"/>
      <c r="S10" s="1935"/>
      <c r="T10" s="1935"/>
      <c r="U10" s="1945" t="s">
        <v>1433</v>
      </c>
      <c r="V10" s="1957" t="s">
        <v>1434</v>
      </c>
      <c r="W10" s="1942" t="s">
        <v>1435</v>
      </c>
      <c r="X10" s="1935"/>
      <c r="Y10" s="1935"/>
      <c r="Z10" s="1949"/>
      <c r="AA10" s="1935"/>
      <c r="AB10" s="1935"/>
      <c r="AC10" s="1653"/>
      <c r="AD10" s="1935"/>
      <c r="AE10" s="1935"/>
      <c r="AF10" s="1955"/>
      <c r="AG10" s="1962"/>
    </row>
    <row r="11" spans="2:33" ht="182.25" customHeight="1" x14ac:dyDescent="0.25">
      <c r="B11" s="1936"/>
      <c r="C11" s="1937"/>
      <c r="D11" s="1937"/>
      <c r="E11" s="1937"/>
      <c r="F11" s="1937"/>
      <c r="G11" s="1935"/>
      <c r="H11" s="1935"/>
      <c r="I11" s="1935"/>
      <c r="J11" s="1935"/>
      <c r="K11" s="1937"/>
      <c r="L11" s="1937"/>
      <c r="M11" s="1935"/>
      <c r="N11" s="1937"/>
      <c r="O11" s="1937" t="s">
        <v>1436</v>
      </c>
      <c r="P11" s="1937"/>
      <c r="Q11" s="1937"/>
      <c r="R11" s="1937"/>
      <c r="S11" s="1937"/>
      <c r="T11" s="1937"/>
      <c r="U11" s="1946"/>
      <c r="V11" s="1958"/>
      <c r="W11" s="1937"/>
      <c r="X11" s="1937"/>
      <c r="Y11" s="1935"/>
      <c r="Z11" s="1950"/>
      <c r="AA11" s="1935"/>
      <c r="AB11" s="1935"/>
      <c r="AC11" s="1653"/>
      <c r="AD11" s="1937"/>
      <c r="AE11" s="1935"/>
      <c r="AF11" s="1956"/>
      <c r="AG11" s="1962"/>
    </row>
    <row r="12" spans="2:33" ht="30" customHeight="1" x14ac:dyDescent="0.2">
      <c r="B12" s="1174" t="s">
        <v>1437</v>
      </c>
      <c r="C12" s="1174" t="s">
        <v>1438</v>
      </c>
      <c r="D12" s="1174" t="s">
        <v>1439</v>
      </c>
      <c r="E12" s="1174" t="s">
        <v>1440</v>
      </c>
      <c r="F12" s="1174" t="s">
        <v>1441</v>
      </c>
      <c r="G12" s="1174" t="s">
        <v>1442</v>
      </c>
      <c r="H12" s="1174" t="s">
        <v>1443</v>
      </c>
      <c r="I12" s="1174" t="s">
        <v>1444</v>
      </c>
      <c r="J12" s="1174" t="s">
        <v>1445</v>
      </c>
      <c r="K12" s="1174" t="s">
        <v>1446</v>
      </c>
      <c r="L12" s="1174" t="s">
        <v>1447</v>
      </c>
      <c r="M12" s="1174" t="s">
        <v>1448</v>
      </c>
      <c r="N12" s="1174" t="s">
        <v>1449</v>
      </c>
      <c r="O12" s="1174" t="s">
        <v>1450</v>
      </c>
      <c r="P12" s="1174">
        <v>140</v>
      </c>
      <c r="Q12" s="1174">
        <v>150</v>
      </c>
      <c r="R12" s="1174">
        <v>160</v>
      </c>
      <c r="S12" s="1174">
        <v>170</v>
      </c>
      <c r="T12" s="1174">
        <v>180</v>
      </c>
      <c r="U12" s="1174">
        <v>190</v>
      </c>
      <c r="V12" s="1174">
        <v>200</v>
      </c>
      <c r="W12" s="1174">
        <v>210</v>
      </c>
      <c r="X12" s="1174">
        <v>220</v>
      </c>
      <c r="Y12" s="1174">
        <v>230</v>
      </c>
      <c r="Z12" s="1174">
        <v>240</v>
      </c>
      <c r="AA12" s="1174">
        <v>250</v>
      </c>
      <c r="AB12" s="1174">
        <v>255</v>
      </c>
      <c r="AC12" s="1174">
        <v>260</v>
      </c>
      <c r="AD12" s="1174">
        <v>270</v>
      </c>
      <c r="AE12" s="1174">
        <v>280</v>
      </c>
      <c r="AF12" s="1174">
        <v>290</v>
      </c>
      <c r="AG12" s="1260">
        <v>300</v>
      </c>
    </row>
    <row r="13" spans="2:33" ht="31.5" customHeight="1" thickBot="1" x14ac:dyDescent="0.25">
      <c r="B13" s="1261"/>
      <c r="C13" s="1261"/>
      <c r="D13" s="1262"/>
      <c r="E13" s="1263"/>
      <c r="F13" s="1238"/>
      <c r="G13" s="1263"/>
      <c r="H13" s="1263"/>
      <c r="I13" s="1263"/>
      <c r="J13" s="1263"/>
      <c r="K13" s="1264"/>
      <c r="L13" s="1264"/>
      <c r="M13" s="1264"/>
      <c r="N13" s="1238"/>
      <c r="O13" s="1238"/>
      <c r="P13" s="1238"/>
      <c r="Q13" s="1238"/>
      <c r="R13" s="1238"/>
      <c r="S13" s="1238"/>
      <c r="T13" s="1238"/>
      <c r="U13" s="1238"/>
      <c r="V13" s="1238"/>
      <c r="W13" s="1238"/>
      <c r="X13" s="1238"/>
      <c r="Y13" s="1265"/>
      <c r="Z13" s="1238"/>
      <c r="AA13" s="1265"/>
      <c r="AB13" s="1238"/>
      <c r="AC13" s="1265"/>
      <c r="AD13" s="1238"/>
      <c r="AE13" s="1265"/>
      <c r="AF13" s="1265"/>
      <c r="AG13" s="1259"/>
    </row>
  </sheetData>
  <mergeCells count="42">
    <mergeCell ref="Q2:AG2"/>
    <mergeCell ref="AA7:AA11"/>
    <mergeCell ref="N9:N11"/>
    <mergeCell ref="Q7:W7"/>
    <mergeCell ref="AB7:AB11"/>
    <mergeCell ref="AF8:AF11"/>
    <mergeCell ref="X8:X11"/>
    <mergeCell ref="V10:V11"/>
    <mergeCell ref="W10:W11"/>
    <mergeCell ref="AE7:AG7"/>
    <mergeCell ref="AG8:AG11"/>
    <mergeCell ref="S8:W8"/>
    <mergeCell ref="T9:T11"/>
    <mergeCell ref="AE8:AE11"/>
    <mergeCell ref="B2:P2"/>
    <mergeCell ref="N7:P8"/>
    <mergeCell ref="AC7:AD8"/>
    <mergeCell ref="AD9:AD11"/>
    <mergeCell ref="F9:F11"/>
    <mergeCell ref="K7:K11"/>
    <mergeCell ref="P9:P11"/>
    <mergeCell ref="Z7:Z11"/>
    <mergeCell ref="J9:J11"/>
    <mergeCell ref="L9:L11"/>
    <mergeCell ref="O9:O11"/>
    <mergeCell ref="H8:H11"/>
    <mergeCell ref="B7:B11"/>
    <mergeCell ref="Y7:Y11"/>
    <mergeCell ref="C9:C11"/>
    <mergeCell ref="D9:D11"/>
    <mergeCell ref="M7:M11"/>
    <mergeCell ref="S9:S11"/>
    <mergeCell ref="F8:G8"/>
    <mergeCell ref="I9:I11"/>
    <mergeCell ref="Q9:Q11"/>
    <mergeCell ref="C7:C8"/>
    <mergeCell ref="E9:E11"/>
    <mergeCell ref="D7:E8"/>
    <mergeCell ref="U10:U11"/>
    <mergeCell ref="Q8:R8"/>
    <mergeCell ref="R9:R11"/>
    <mergeCell ref="G9:G11"/>
  </mergeCells>
  <printOptions horizontalCentered="1" verticalCentered="1"/>
  <pageMargins left="0.11811023622047245" right="0.11811023622047245" top="0.78740157480314965" bottom="0.78740157480314965" header="0.31496062992125984" footer="0.31496062992125984"/>
  <pageSetup paperSize="9" scale="28" fitToWidth="0" fitToHeight="0" orientation="landscape" r:id="rId1"/>
  <headerFooter>
    <oddHeader>&amp;CFR
ANNEXE I</oddHeader>
    <oddFooter>&amp;C&amp;P</oddFooter>
  </headerFooter>
  <colBreaks count="1" manualBreakCount="1">
    <brk id="16" max="13"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B1:M74"/>
  <sheetViews>
    <sheetView showGridLines="0" view="pageLayout" zoomScale="55" zoomScaleNormal="90" zoomScaleSheetLayoutView="90" zoomScalePageLayoutView="55" workbookViewId="0">
      <selection activeCell="C33" sqref="C33"/>
    </sheetView>
  </sheetViews>
  <sheetFormatPr defaultColWidth="9.109375" defaultRowHeight="10.199999999999999" x14ac:dyDescent="0.2"/>
  <cols>
    <col min="1" max="1" width="1.5546875" style="82" customWidth="1"/>
    <col min="2" max="2" width="6" style="82" customWidth="1"/>
    <col min="3" max="3" width="49.5546875" style="82" customWidth="1"/>
    <col min="4" max="4" width="18.5546875" style="82" customWidth="1"/>
    <col min="5" max="5" width="19.6640625" style="82" customWidth="1"/>
    <col min="6" max="6" width="24.5546875" style="82" customWidth="1"/>
    <col min="7" max="8" width="20.44140625" style="82" customWidth="1"/>
    <col min="9" max="9" width="18.5546875" style="82" customWidth="1"/>
    <col min="10" max="10" width="21.33203125" style="82" customWidth="1"/>
    <col min="11" max="11" width="17.88671875" style="82" customWidth="1"/>
    <col min="12" max="12" width="18.6640625" style="82" customWidth="1"/>
    <col min="13" max="14" width="18.109375" style="82" customWidth="1"/>
    <col min="15" max="15" width="20.44140625" style="82" customWidth="1"/>
    <col min="16" max="16" width="18.44140625" style="82" customWidth="1"/>
    <col min="17" max="17" width="19.6640625" style="82" customWidth="1"/>
    <col min="18" max="18" width="15.88671875" style="82" customWidth="1"/>
    <col min="19" max="16384" width="9.109375" style="82"/>
  </cols>
  <sheetData>
    <row r="1" spans="2:13" ht="11.25" thickBot="1" x14ac:dyDescent="0.2"/>
    <row r="2" spans="2:13" ht="21.9" customHeight="1" thickBot="1" x14ac:dyDescent="0.25">
      <c r="B2" s="1969" t="s">
        <v>1451</v>
      </c>
      <c r="C2" s="1970"/>
      <c r="D2" s="1970"/>
      <c r="E2" s="1970"/>
      <c r="F2" s="1970"/>
      <c r="G2" s="1970"/>
      <c r="H2" s="1970"/>
      <c r="I2" s="1970"/>
      <c r="J2" s="1970"/>
      <c r="K2" s="1970"/>
      <c r="L2" s="1970"/>
      <c r="M2" s="1971"/>
    </row>
    <row r="3" spans="2:13" ht="4.5" customHeight="1" x14ac:dyDescent="0.15">
      <c r="C3" s="84"/>
      <c r="D3" s="85"/>
      <c r="E3" s="85"/>
      <c r="F3" s="85"/>
      <c r="G3" s="85"/>
      <c r="H3" s="85"/>
    </row>
    <row r="4" spans="2:13" ht="15" customHeight="1" x14ac:dyDescent="0.15">
      <c r="C4" s="1135" t="s">
        <v>1452</v>
      </c>
      <c r="D4" s="86"/>
      <c r="E4" s="85"/>
      <c r="F4" s="85"/>
      <c r="G4" s="85"/>
      <c r="H4" s="85"/>
    </row>
    <row r="5" spans="2:13" ht="5.25" customHeight="1" x14ac:dyDescent="0.15">
      <c r="C5" s="87"/>
    </row>
    <row r="6" spans="2:13" ht="115.5" customHeight="1" x14ac:dyDescent="0.2">
      <c r="B6" s="1159"/>
      <c r="C6" s="1160"/>
      <c r="D6" s="1163" t="s">
        <v>1453</v>
      </c>
      <c r="E6" s="1748" t="s">
        <v>1454</v>
      </c>
      <c r="F6" s="1163" t="s">
        <v>1455</v>
      </c>
      <c r="G6" s="1163" t="s">
        <v>1456</v>
      </c>
      <c r="H6" s="1163" t="s">
        <v>1457</v>
      </c>
      <c r="I6" s="1163" t="s">
        <v>1458</v>
      </c>
      <c r="J6" s="1163" t="s">
        <v>1459</v>
      </c>
      <c r="K6" s="1163" t="s">
        <v>1460</v>
      </c>
      <c r="L6" s="1163" t="s">
        <v>1461</v>
      </c>
      <c r="M6" s="1163" t="s">
        <v>1462</v>
      </c>
    </row>
    <row r="7" spans="2:13" ht="30" customHeight="1" x14ac:dyDescent="0.15">
      <c r="B7" s="1161"/>
      <c r="C7" s="1162"/>
      <c r="D7" s="1138" t="s">
        <v>1463</v>
      </c>
      <c r="E7" s="1138" t="s">
        <v>1464</v>
      </c>
      <c r="F7" s="1138" t="s">
        <v>1465</v>
      </c>
      <c r="G7" s="1138" t="s">
        <v>1466</v>
      </c>
      <c r="H7" s="1138" t="s">
        <v>1467</v>
      </c>
      <c r="I7" s="1138" t="s">
        <v>1468</v>
      </c>
      <c r="J7" s="1138" t="s">
        <v>1469</v>
      </c>
      <c r="K7" s="1138" t="s">
        <v>1470</v>
      </c>
      <c r="L7" s="1138" t="s">
        <v>1471</v>
      </c>
      <c r="M7" s="1138" t="s">
        <v>1472</v>
      </c>
    </row>
    <row r="8" spans="2:13" ht="15" customHeight="1" x14ac:dyDescent="0.15">
      <c r="B8" s="1136" t="s">
        <v>1473</v>
      </c>
      <c r="C8" s="1164" t="s">
        <v>1474</v>
      </c>
      <c r="D8" s="1140"/>
      <c r="E8" s="1141"/>
      <c r="F8" s="1142"/>
      <c r="G8" s="1142"/>
      <c r="H8" s="1143"/>
      <c r="I8" s="1142"/>
      <c r="J8" s="1142"/>
      <c r="K8" s="1143"/>
      <c r="L8" s="1142"/>
      <c r="M8" s="1654"/>
    </row>
    <row r="9" spans="2:13" ht="15" customHeight="1" x14ac:dyDescent="0.2">
      <c r="B9" s="1136" t="s">
        <v>1475</v>
      </c>
      <c r="C9" s="1164" t="s">
        <v>1476</v>
      </c>
      <c r="D9" s="1144"/>
      <c r="E9" s="1145"/>
      <c r="F9" s="1145"/>
      <c r="G9" s="1145"/>
      <c r="H9" s="1146"/>
      <c r="I9" s="1145"/>
      <c r="J9" s="1145"/>
      <c r="K9" s="1146"/>
      <c r="L9" s="1145"/>
      <c r="M9" s="1149"/>
    </row>
    <row r="10" spans="2:13" ht="15" customHeight="1" x14ac:dyDescent="0.2">
      <c r="B10" s="1136" t="s">
        <v>1477</v>
      </c>
      <c r="C10" s="1164" t="s">
        <v>1478</v>
      </c>
      <c r="D10" s="1144"/>
      <c r="E10" s="1145"/>
      <c r="F10" s="1145"/>
      <c r="G10" s="1145"/>
      <c r="H10" s="1146"/>
      <c r="I10" s="1145"/>
      <c r="J10" s="1145"/>
      <c r="K10" s="1146"/>
      <c r="L10" s="1145"/>
      <c r="M10" s="1149"/>
    </row>
    <row r="11" spans="2:13" ht="15" customHeight="1" x14ac:dyDescent="0.2">
      <c r="B11" s="1136" t="s">
        <v>1479</v>
      </c>
      <c r="C11" s="1164" t="s">
        <v>1480</v>
      </c>
      <c r="D11" s="1144"/>
      <c r="E11" s="1145"/>
      <c r="F11" s="1145"/>
      <c r="G11" s="1145"/>
      <c r="H11" s="1146"/>
      <c r="I11" s="1145"/>
      <c r="J11" s="1145"/>
      <c r="K11" s="1146"/>
      <c r="L11" s="1145"/>
      <c r="M11" s="1149"/>
    </row>
    <row r="12" spans="2:13" ht="15" customHeight="1" x14ac:dyDescent="0.15">
      <c r="B12" s="1136" t="s">
        <v>1481</v>
      </c>
      <c r="C12" s="1164" t="s">
        <v>1482</v>
      </c>
      <c r="D12" s="1144"/>
      <c r="E12" s="1145"/>
      <c r="F12" s="1145"/>
      <c r="G12" s="1145"/>
      <c r="H12" s="1146"/>
      <c r="I12" s="1145"/>
      <c r="J12" s="1145"/>
      <c r="K12" s="1146"/>
      <c r="L12" s="1145"/>
      <c r="M12" s="1149"/>
    </row>
    <row r="13" spans="2:13" ht="15" customHeight="1" x14ac:dyDescent="0.25">
      <c r="B13" s="1136" t="s">
        <v>1483</v>
      </c>
      <c r="C13" s="1164" t="s">
        <v>1484</v>
      </c>
      <c r="D13" s="1144"/>
      <c r="E13" s="1145"/>
      <c r="F13" s="1145"/>
      <c r="G13" s="1145"/>
      <c r="H13" s="1146"/>
      <c r="I13" s="1145"/>
      <c r="J13" s="1147"/>
      <c r="K13" s="1148"/>
      <c r="L13" s="1145"/>
      <c r="M13" s="1149"/>
    </row>
    <row r="14" spans="2:13" ht="15" customHeight="1" x14ac:dyDescent="0.15">
      <c r="B14" s="1136" t="s">
        <v>1485</v>
      </c>
      <c r="C14" s="1164" t="s">
        <v>1486</v>
      </c>
      <c r="D14" s="1144"/>
      <c r="E14" s="1145"/>
      <c r="F14" s="1145"/>
      <c r="G14" s="1145"/>
      <c r="H14" s="1146"/>
      <c r="I14" s="1145"/>
      <c r="J14" s="1145"/>
      <c r="K14" s="1146"/>
      <c r="L14" s="1145"/>
      <c r="M14" s="1149"/>
    </row>
    <row r="15" spans="2:13" s="99" customFormat="1" ht="15" customHeight="1" x14ac:dyDescent="0.15">
      <c r="B15" s="1137" t="s">
        <v>1487</v>
      </c>
      <c r="C15" s="1165" t="s">
        <v>1488</v>
      </c>
      <c r="D15" s="1150"/>
      <c r="E15" s="1146"/>
      <c r="F15" s="1146"/>
      <c r="G15" s="1146"/>
      <c r="H15" s="1146"/>
      <c r="I15" s="1146"/>
      <c r="J15" s="1146"/>
      <c r="K15" s="1146"/>
      <c r="L15" s="1146"/>
      <c r="M15" s="1149"/>
    </row>
    <row r="16" spans="2:13" ht="15" customHeight="1" x14ac:dyDescent="0.2">
      <c r="B16" s="1136" t="s">
        <v>1489</v>
      </c>
      <c r="C16" s="1164" t="s">
        <v>1490</v>
      </c>
      <c r="D16" s="1144"/>
      <c r="E16" s="1145"/>
      <c r="F16" s="1145"/>
      <c r="G16" s="1145"/>
      <c r="H16" s="1146"/>
      <c r="I16" s="1145"/>
      <c r="J16" s="1145"/>
      <c r="K16" s="1146"/>
      <c r="L16" s="1145"/>
      <c r="M16" s="1149"/>
    </row>
    <row r="17" spans="2:13" s="99" customFormat="1" ht="15" customHeight="1" x14ac:dyDescent="0.15">
      <c r="B17" s="1137" t="s">
        <v>1491</v>
      </c>
      <c r="C17" s="1165" t="s">
        <v>1492</v>
      </c>
      <c r="D17" s="1150" t="s">
        <v>1493</v>
      </c>
      <c r="E17" s="1146"/>
      <c r="F17" s="1146"/>
      <c r="G17" s="1146"/>
      <c r="H17" s="1146"/>
      <c r="I17" s="1146"/>
      <c r="J17" s="1146"/>
      <c r="K17" s="1146"/>
      <c r="L17" s="1146"/>
      <c r="M17" s="1149"/>
    </row>
    <row r="18" spans="2:13" ht="28.5" customHeight="1" x14ac:dyDescent="0.2">
      <c r="B18" s="1136" t="s">
        <v>1494</v>
      </c>
      <c r="C18" s="1164" t="s">
        <v>1495</v>
      </c>
      <c r="D18" s="1144"/>
      <c r="E18" s="1145"/>
      <c r="F18" s="1145"/>
      <c r="G18" s="1145"/>
      <c r="H18" s="1146"/>
      <c r="I18" s="1145"/>
      <c r="J18" s="1145"/>
      <c r="K18" s="1146"/>
      <c r="L18" s="1145"/>
      <c r="M18" s="1149"/>
    </row>
    <row r="19" spans="2:13" s="99" customFormat="1" ht="15" customHeight="1" x14ac:dyDescent="0.15">
      <c r="B19" s="1137" t="s">
        <v>1496</v>
      </c>
      <c r="C19" s="1165" t="s">
        <v>1497</v>
      </c>
      <c r="D19" s="1150"/>
      <c r="E19" s="1146"/>
      <c r="F19" s="1146"/>
      <c r="G19" s="1146"/>
      <c r="H19" s="1146"/>
      <c r="I19" s="1146"/>
      <c r="J19" s="1146"/>
      <c r="K19" s="1146"/>
      <c r="L19" s="1146"/>
      <c r="M19" s="1149"/>
    </row>
    <row r="20" spans="2:13" ht="15" customHeight="1" x14ac:dyDescent="0.2">
      <c r="B20" s="1136" t="s">
        <v>1498</v>
      </c>
      <c r="C20" s="1164" t="s">
        <v>1499</v>
      </c>
      <c r="D20" s="1144"/>
      <c r="E20" s="1151"/>
      <c r="F20" s="1151"/>
      <c r="G20" s="1146"/>
      <c r="H20" s="1146"/>
      <c r="I20" s="1146"/>
      <c r="J20" s="1151"/>
      <c r="K20" s="1146"/>
      <c r="L20" s="1145"/>
      <c r="M20" s="1149"/>
    </row>
    <row r="21" spans="2:13" ht="15" customHeight="1" x14ac:dyDescent="0.2">
      <c r="B21" s="1136" t="s">
        <v>1500</v>
      </c>
      <c r="C21" s="1164" t="s">
        <v>1501</v>
      </c>
      <c r="D21" s="1144"/>
      <c r="E21" s="1145"/>
      <c r="F21" s="1145"/>
      <c r="G21" s="1145"/>
      <c r="H21" s="1146"/>
      <c r="I21" s="1145"/>
      <c r="J21" s="1145"/>
      <c r="K21" s="1146"/>
      <c r="L21" s="1145"/>
      <c r="M21" s="1149"/>
    </row>
    <row r="22" spans="2:13" ht="15" customHeight="1" x14ac:dyDescent="0.15">
      <c r="B22" s="1136" t="s">
        <v>1502</v>
      </c>
      <c r="C22" s="1164" t="s">
        <v>1503</v>
      </c>
      <c r="D22" s="1144"/>
      <c r="E22" s="1145"/>
      <c r="F22" s="1145"/>
      <c r="G22" s="1145"/>
      <c r="H22" s="1146"/>
      <c r="I22" s="1145"/>
      <c r="J22" s="1145"/>
      <c r="K22" s="1146"/>
      <c r="L22" s="1145"/>
      <c r="M22" s="1149"/>
    </row>
    <row r="23" spans="2:13" ht="37.5" customHeight="1" x14ac:dyDescent="0.2">
      <c r="B23" s="1136" t="s">
        <v>1504</v>
      </c>
      <c r="C23" s="1577" t="s">
        <v>1505</v>
      </c>
      <c r="D23" s="1144"/>
      <c r="E23" s="1145"/>
      <c r="F23" s="1145"/>
      <c r="G23" s="1145"/>
      <c r="H23" s="1146"/>
      <c r="I23" s="1145"/>
      <c r="J23" s="1145"/>
      <c r="K23" s="1146"/>
      <c r="L23" s="1145"/>
      <c r="M23" s="1149"/>
    </row>
    <row r="24" spans="2:13" ht="15" customHeight="1" x14ac:dyDescent="0.15">
      <c r="B24" s="1136" t="s">
        <v>1506</v>
      </c>
      <c r="C24" s="1164" t="s">
        <v>1507</v>
      </c>
      <c r="D24" s="1144"/>
      <c r="E24" s="1145"/>
      <c r="F24" s="1145"/>
      <c r="G24" s="1145"/>
      <c r="H24" s="1146"/>
      <c r="I24" s="1145"/>
      <c r="J24" s="1145"/>
      <c r="K24" s="1146"/>
      <c r="L24" s="1145"/>
      <c r="M24" s="1149"/>
    </row>
    <row r="25" spans="2:13" ht="15" customHeight="1" x14ac:dyDescent="0.2">
      <c r="B25" s="1136" t="s">
        <v>1508</v>
      </c>
      <c r="C25" s="1164" t="s">
        <v>1509</v>
      </c>
      <c r="D25" s="1144"/>
      <c r="E25" s="1145"/>
      <c r="F25" s="1145"/>
      <c r="G25" s="1145"/>
      <c r="H25" s="1146"/>
      <c r="I25" s="1145"/>
      <c r="J25" s="1145"/>
      <c r="K25" s="1146"/>
      <c r="L25" s="1145"/>
      <c r="M25" s="1149"/>
    </row>
    <row r="26" spans="2:13" ht="15" customHeight="1" x14ac:dyDescent="0.15">
      <c r="B26" s="1136" t="s">
        <v>1510</v>
      </c>
      <c r="C26" s="1164" t="s">
        <v>1511</v>
      </c>
      <c r="D26" s="1152"/>
      <c r="E26" s="1153"/>
      <c r="F26" s="1153"/>
      <c r="G26" s="1153"/>
      <c r="H26" s="1154"/>
      <c r="I26" s="1153"/>
      <c r="J26" s="1153"/>
      <c r="K26" s="1154"/>
      <c r="L26" s="1153"/>
      <c r="M26" s="1655"/>
    </row>
    <row r="27" spans="2:13" ht="15" customHeight="1" x14ac:dyDescent="0.15">
      <c r="B27" s="1136">
        <v>170</v>
      </c>
      <c r="C27" s="1139" t="s">
        <v>1512</v>
      </c>
      <c r="D27" s="1155"/>
      <c r="E27" s="1156"/>
      <c r="F27" s="1156"/>
      <c r="G27" s="1156"/>
      <c r="H27" s="1157"/>
      <c r="I27" s="1156"/>
      <c r="J27" s="1156"/>
      <c r="K27" s="1157"/>
      <c r="L27" s="1156"/>
      <c r="M27" s="1158"/>
    </row>
    <row r="28" spans="2:13" ht="14.25" x14ac:dyDescent="0.2">
      <c r="C28" s="98"/>
      <c r="D28" s="29"/>
      <c r="E28" s="29"/>
      <c r="F28" s="29"/>
      <c r="G28" s="29"/>
      <c r="H28" s="29"/>
      <c r="I28" s="29"/>
    </row>
    <row r="29" spans="2:13" s="101" customFormat="1" ht="14.25" x14ac:dyDescent="0.2">
      <c r="B29" s="29"/>
      <c r="C29" s="29"/>
      <c r="D29" s="29"/>
      <c r="E29" s="29"/>
    </row>
    <row r="30" spans="2:13" s="101" customFormat="1" ht="14.25" x14ac:dyDescent="0.2">
      <c r="B30" s="29"/>
      <c r="C30" s="29"/>
      <c r="D30" s="29"/>
      <c r="E30" s="29"/>
    </row>
    <row r="31" spans="2:13" s="29" customFormat="1" ht="14.25" x14ac:dyDescent="0.2"/>
    <row r="32" spans="2:13" s="29" customFormat="1" ht="14.25" x14ac:dyDescent="0.2"/>
    <row r="33" s="29" customFormat="1" ht="14.25" x14ac:dyDescent="0.2"/>
    <row r="34" s="29" customFormat="1" ht="14.25" x14ac:dyDescent="0.2"/>
    <row r="35" s="29" customFormat="1" ht="14.25" x14ac:dyDescent="0.2"/>
    <row r="36" s="29" customFormat="1" ht="14.25" x14ac:dyDescent="0.2"/>
    <row r="37" s="29" customFormat="1" ht="14.25" x14ac:dyDescent="0.2"/>
    <row r="38" s="29" customFormat="1" ht="14.25" x14ac:dyDescent="0.2"/>
    <row r="39" s="29" customFormat="1" ht="14.25" x14ac:dyDescent="0.2"/>
    <row r="40" s="29" customFormat="1" ht="14.25" x14ac:dyDescent="0.2"/>
    <row r="41" s="29" customFormat="1" ht="14.25" x14ac:dyDescent="0.2"/>
    <row r="42" s="29" customFormat="1" ht="14.25" x14ac:dyDescent="0.2"/>
    <row r="43" s="29" customFormat="1" ht="14.25" x14ac:dyDescent="0.2"/>
    <row r="44" s="29" customFormat="1" ht="14.25" x14ac:dyDescent="0.2"/>
    <row r="45" s="29" customFormat="1" ht="14.25" x14ac:dyDescent="0.2"/>
    <row r="46" s="29" customFormat="1" ht="14.25" x14ac:dyDescent="0.2"/>
    <row r="47" s="29" customFormat="1" ht="14.25" x14ac:dyDescent="0.2"/>
    <row r="48" s="29" customFormat="1" ht="14.25" x14ac:dyDescent="0.2"/>
    <row r="49" s="29" customFormat="1" ht="14.25" x14ac:dyDescent="0.2"/>
    <row r="50" s="29" customFormat="1" ht="14.25" x14ac:dyDescent="0.2"/>
    <row r="51" s="29" customFormat="1" ht="14.25" x14ac:dyDescent="0.2"/>
    <row r="52" s="29" customFormat="1" ht="14.25" x14ac:dyDescent="0.2"/>
    <row r="53" s="29" customFormat="1" ht="13.8" x14ac:dyDescent="0.25"/>
    <row r="54" s="29" customFormat="1" ht="13.8" x14ac:dyDescent="0.25"/>
    <row r="55" s="29" customFormat="1" ht="13.8" x14ac:dyDescent="0.25"/>
    <row r="56" s="29" customFormat="1" ht="13.8" x14ac:dyDescent="0.25"/>
    <row r="57" s="29" customFormat="1" ht="13.8" x14ac:dyDescent="0.25"/>
    <row r="58" s="29" customFormat="1" ht="13.8" x14ac:dyDescent="0.25"/>
    <row r="59" s="29" customFormat="1" ht="13.8" x14ac:dyDescent="0.25"/>
    <row r="60" s="29" customFormat="1" ht="13.8" x14ac:dyDescent="0.25"/>
    <row r="61" s="29" customFormat="1" ht="13.8" x14ac:dyDescent="0.25"/>
    <row r="62" s="29" customFormat="1" ht="13.8" x14ac:dyDescent="0.25"/>
    <row r="63" s="29" customFormat="1" ht="13.8" x14ac:dyDescent="0.25"/>
    <row r="64" s="29" customFormat="1" ht="13.8" x14ac:dyDescent="0.25"/>
    <row r="65" s="29" customFormat="1" ht="13.8" x14ac:dyDescent="0.25"/>
    <row r="66" s="29" customFormat="1" ht="13.8" x14ac:dyDescent="0.25"/>
    <row r="67" s="29" customFormat="1" ht="13.8" x14ac:dyDescent="0.25"/>
    <row r="68" s="29" customFormat="1" ht="13.8" x14ac:dyDescent="0.25"/>
    <row r="69" s="29" customFormat="1" ht="13.8" x14ac:dyDescent="0.25"/>
    <row r="70" s="29" customFormat="1" ht="13.8" x14ac:dyDescent="0.25"/>
    <row r="71" s="29" customFormat="1" ht="13.8" x14ac:dyDescent="0.25"/>
    <row r="72" s="29" customFormat="1" ht="13.8" x14ac:dyDescent="0.25"/>
    <row r="73" s="29" customFormat="1" ht="13.8" x14ac:dyDescent="0.25"/>
    <row r="74" s="29" customFormat="1" ht="13.8" x14ac:dyDescent="0.25"/>
  </sheetData>
  <mergeCells count="1">
    <mergeCell ref="B2:M2"/>
  </mergeCells>
  <printOptions horizontalCentered="1" verticalCentered="1"/>
  <pageMargins left="0.19685039370078741" right="0" top="0.74803149606299213" bottom="0.74803149606299213" header="0.31496062992125984" footer="0.31496062992125984"/>
  <pageSetup paperSize="9" scale="56" orientation="landscape" r:id="rId1"/>
  <headerFooter>
    <oddHeader>&amp;CFR
ANNEXE I</oddHead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R71"/>
  <sheetViews>
    <sheetView showGridLines="0" view="pageLayout" zoomScale="55" zoomScaleNormal="90" zoomScaleSheetLayoutView="70" zoomScalePageLayoutView="55" workbookViewId="0">
      <selection activeCell="F40" sqref="F40"/>
    </sheetView>
  </sheetViews>
  <sheetFormatPr defaultColWidth="9.109375" defaultRowHeight="10.199999999999999" x14ac:dyDescent="0.2"/>
  <cols>
    <col min="1" max="1" width="1.5546875" style="82" customWidth="1"/>
    <col min="2" max="2" width="6" style="82" customWidth="1"/>
    <col min="3" max="3" width="35.109375" style="82" customWidth="1"/>
    <col min="4" max="4" width="18.5546875" style="82" customWidth="1"/>
    <col min="5" max="5" width="19.6640625" style="82" customWidth="1"/>
    <col min="6" max="6" width="24.5546875" style="82" customWidth="1"/>
    <col min="7" max="8" width="20.44140625" style="82" customWidth="1"/>
    <col min="9" max="9" width="18.5546875" style="82" customWidth="1"/>
    <col min="10" max="10" width="21.33203125" style="82" customWidth="1"/>
    <col min="11" max="11" width="17.88671875" style="82" customWidth="1"/>
    <col min="12" max="12" width="16.109375" style="82" customWidth="1"/>
    <col min="13" max="14" width="18.109375" style="82" customWidth="1"/>
    <col min="15" max="15" width="20.44140625" style="82" customWidth="1"/>
    <col min="16" max="16" width="18.44140625" style="82" customWidth="1"/>
    <col min="17" max="17" width="19.6640625" style="82" customWidth="1"/>
    <col min="18" max="18" width="15.88671875" style="82" customWidth="1"/>
    <col min="19" max="16384" width="9.109375" style="82"/>
  </cols>
  <sheetData>
    <row r="1" spans="2:18" ht="11.25" thickBot="1" x14ac:dyDescent="0.2"/>
    <row r="2" spans="2:18" s="83" customFormat="1" ht="21.9" customHeight="1" thickBot="1" x14ac:dyDescent="0.25">
      <c r="B2" s="1969" t="s">
        <v>1513</v>
      </c>
      <c r="C2" s="1970"/>
      <c r="D2" s="1970"/>
      <c r="E2" s="1970"/>
      <c r="F2" s="1970"/>
      <c r="G2" s="1970"/>
      <c r="H2" s="1970"/>
      <c r="I2" s="1970"/>
      <c r="J2" s="1970"/>
      <c r="K2" s="1970"/>
      <c r="L2" s="1970"/>
      <c r="M2" s="1970"/>
      <c r="N2" s="1970"/>
      <c r="O2" s="1970"/>
      <c r="P2" s="1970"/>
      <c r="Q2" s="1970"/>
      <c r="R2" s="1971"/>
    </row>
    <row r="3" spans="2:18" ht="4.5" customHeight="1" x14ac:dyDescent="0.15">
      <c r="C3" s="84"/>
      <c r="D3" s="85"/>
      <c r="E3" s="85"/>
      <c r="F3" s="85"/>
      <c r="G3" s="85"/>
      <c r="H3" s="85"/>
    </row>
    <row r="4" spans="2:18" ht="15" customHeight="1" x14ac:dyDescent="0.15">
      <c r="C4" s="1135" t="s">
        <v>1514</v>
      </c>
      <c r="D4" s="86"/>
      <c r="E4" s="85"/>
      <c r="F4" s="85"/>
      <c r="G4" s="85"/>
      <c r="H4" s="85"/>
    </row>
    <row r="5" spans="2:18" ht="5.25" customHeight="1" x14ac:dyDescent="0.15">
      <c r="C5" s="87"/>
    </row>
    <row r="6" spans="2:18" ht="85.5" customHeight="1" x14ac:dyDescent="0.2">
      <c r="B6" s="1159"/>
      <c r="C6" s="1160"/>
      <c r="D6" s="1163" t="s">
        <v>1515</v>
      </c>
      <c r="E6" s="1163" t="s">
        <v>1516</v>
      </c>
      <c r="F6" s="1163" t="s">
        <v>1517</v>
      </c>
      <c r="G6" s="1163" t="s">
        <v>1518</v>
      </c>
      <c r="H6" s="1163" t="s">
        <v>1519</v>
      </c>
      <c r="I6" s="1163" t="s">
        <v>1520</v>
      </c>
      <c r="J6" s="1163" t="s">
        <v>1521</v>
      </c>
      <c r="K6" s="1163" t="s">
        <v>1522</v>
      </c>
      <c r="L6" s="1163" t="s">
        <v>1523</v>
      </c>
      <c r="M6" s="1163" t="s">
        <v>1524</v>
      </c>
      <c r="N6" s="1163" t="s">
        <v>1525</v>
      </c>
      <c r="O6" s="1163" t="s">
        <v>1526</v>
      </c>
      <c r="P6" s="1163" t="s">
        <v>1527</v>
      </c>
      <c r="Q6" s="1163" t="s">
        <v>1528</v>
      </c>
      <c r="R6" s="1163" t="s">
        <v>1529</v>
      </c>
    </row>
    <row r="7" spans="2:18" ht="15" customHeight="1" x14ac:dyDescent="0.15">
      <c r="B7" s="1161"/>
      <c r="C7" s="1162"/>
      <c r="D7" s="1138" t="s">
        <v>1530</v>
      </c>
      <c r="E7" s="1166" t="s">
        <v>1531</v>
      </c>
      <c r="F7" s="1138" t="s">
        <v>1532</v>
      </c>
      <c r="G7" s="1138" t="s">
        <v>1533</v>
      </c>
      <c r="H7" s="1138" t="s">
        <v>1534</v>
      </c>
      <c r="I7" s="1138" t="s">
        <v>1535</v>
      </c>
      <c r="J7" s="1138" t="s">
        <v>1536</v>
      </c>
      <c r="K7" s="1138" t="s">
        <v>1537</v>
      </c>
      <c r="L7" s="1138" t="s">
        <v>1538</v>
      </c>
      <c r="M7" s="1138" t="s">
        <v>1539</v>
      </c>
      <c r="N7" s="1166" t="s">
        <v>1540</v>
      </c>
      <c r="O7" s="1138" t="s">
        <v>1541</v>
      </c>
      <c r="P7" s="1138" t="s">
        <v>1542</v>
      </c>
      <c r="Q7" s="1138">
        <v>125</v>
      </c>
      <c r="R7" s="1138" t="s">
        <v>1543</v>
      </c>
    </row>
    <row r="8" spans="2:18" ht="25.5" customHeight="1" x14ac:dyDescent="0.15">
      <c r="B8" s="1136" t="s">
        <v>1544</v>
      </c>
      <c r="C8" s="1707" t="s">
        <v>1545</v>
      </c>
      <c r="D8" s="89"/>
      <c r="E8" s="89"/>
      <c r="F8" s="89"/>
      <c r="G8" s="89"/>
      <c r="H8" s="89"/>
      <c r="I8" s="89"/>
      <c r="J8" s="89"/>
      <c r="K8" s="88"/>
      <c r="L8" s="88"/>
      <c r="M8" s="89"/>
      <c r="N8" s="89"/>
      <c r="O8" s="88"/>
      <c r="P8" s="89"/>
      <c r="Q8" s="89"/>
      <c r="R8" s="88"/>
    </row>
    <row r="9" spans="2:18" ht="15" customHeight="1" x14ac:dyDescent="0.2">
      <c r="B9" s="1136" t="s">
        <v>1546</v>
      </c>
      <c r="C9" s="1724" t="s">
        <v>1547</v>
      </c>
      <c r="D9" s="92"/>
      <c r="E9" s="90"/>
      <c r="F9" s="91"/>
      <c r="G9" s="90"/>
      <c r="H9" s="92"/>
      <c r="I9" s="90"/>
      <c r="J9" s="90"/>
      <c r="K9" s="90"/>
      <c r="L9" s="90"/>
      <c r="M9" s="90"/>
      <c r="N9" s="92"/>
      <c r="O9" s="92"/>
      <c r="P9" s="90"/>
      <c r="Q9" s="92"/>
      <c r="R9" s="90"/>
    </row>
    <row r="10" spans="2:18" ht="15" customHeight="1" x14ac:dyDescent="0.15">
      <c r="B10" s="1136" t="s">
        <v>1548</v>
      </c>
      <c r="C10" s="1725" t="s">
        <v>1549</v>
      </c>
      <c r="D10" s="92"/>
      <c r="E10" s="90"/>
      <c r="F10" s="91"/>
      <c r="G10" s="90"/>
      <c r="H10" s="92"/>
      <c r="I10" s="90"/>
      <c r="J10" s="90"/>
      <c r="K10" s="90"/>
      <c r="L10" s="90"/>
      <c r="M10" s="90"/>
      <c r="N10" s="92"/>
      <c r="O10" s="92"/>
      <c r="P10" s="90"/>
      <c r="Q10" s="92"/>
      <c r="R10" s="90"/>
    </row>
    <row r="11" spans="2:18" ht="15" customHeight="1" x14ac:dyDescent="0.2">
      <c r="B11" s="1136" t="s">
        <v>1550</v>
      </c>
      <c r="C11" s="1708" t="s">
        <v>1551</v>
      </c>
      <c r="D11" s="1682"/>
      <c r="E11" s="1682"/>
      <c r="F11" s="1751"/>
      <c r="G11" s="1682"/>
      <c r="H11" s="1682"/>
      <c r="I11" s="1682"/>
      <c r="J11" s="1682"/>
      <c r="K11" s="1682"/>
      <c r="L11" s="1682"/>
      <c r="M11" s="1682"/>
      <c r="N11" s="1682"/>
      <c r="O11" s="1682"/>
      <c r="P11" s="1682"/>
      <c r="Q11" s="1682"/>
      <c r="R11" s="1682"/>
    </row>
    <row r="12" spans="2:18" ht="44.25" customHeight="1" x14ac:dyDescent="0.2">
      <c r="B12" s="1668" t="s">
        <v>1552</v>
      </c>
      <c r="C12" s="1708" t="s">
        <v>1553</v>
      </c>
      <c r="D12" s="1682"/>
      <c r="E12" s="1682"/>
      <c r="F12" s="1751"/>
      <c r="G12" s="1682"/>
      <c r="H12" s="1682"/>
      <c r="I12" s="1682"/>
      <c r="J12" s="1682"/>
      <c r="K12" s="1682"/>
      <c r="L12" s="1682"/>
      <c r="M12" s="1682"/>
      <c r="N12" s="1682"/>
      <c r="O12" s="1682"/>
      <c r="P12" s="1682"/>
      <c r="Q12" s="1682"/>
      <c r="R12" s="1682"/>
    </row>
    <row r="13" spans="2:18" ht="42" customHeight="1" x14ac:dyDescent="0.2">
      <c r="B13" s="1668" t="s">
        <v>1554</v>
      </c>
      <c r="C13" s="1708" t="s">
        <v>1555</v>
      </c>
      <c r="D13" s="1682"/>
      <c r="E13" s="1682"/>
      <c r="F13" s="1751"/>
      <c r="G13" s="1682"/>
      <c r="H13" s="1682"/>
      <c r="I13" s="1682"/>
      <c r="J13" s="1682"/>
      <c r="K13" s="1685"/>
      <c r="L13" s="1685"/>
      <c r="M13" s="1685"/>
      <c r="N13" s="1682"/>
      <c r="O13" s="1682"/>
      <c r="P13" s="1682"/>
      <c r="Q13" s="1682"/>
      <c r="R13" s="1682"/>
    </row>
    <row r="14" spans="2:18" ht="15" customHeight="1" x14ac:dyDescent="0.15">
      <c r="B14" s="1136" t="s">
        <v>1556</v>
      </c>
      <c r="C14" s="1708" t="s">
        <v>1557</v>
      </c>
      <c r="D14" s="92"/>
      <c r="E14" s="90"/>
      <c r="F14" s="91"/>
      <c r="G14" s="90"/>
      <c r="H14" s="92"/>
      <c r="I14" s="90"/>
      <c r="J14" s="90"/>
      <c r="K14" s="90"/>
      <c r="L14" s="90"/>
      <c r="M14" s="90"/>
      <c r="N14" s="92"/>
      <c r="O14" s="92"/>
      <c r="P14" s="90"/>
      <c r="Q14" s="92"/>
      <c r="R14" s="90"/>
    </row>
    <row r="15" spans="2:18" ht="15" customHeight="1" x14ac:dyDescent="0.2">
      <c r="B15" s="1136" t="s">
        <v>1558</v>
      </c>
      <c r="C15" s="1725" t="s">
        <v>1559</v>
      </c>
      <c r="D15" s="100"/>
      <c r="E15" s="90"/>
      <c r="F15" s="91"/>
      <c r="G15" s="90"/>
      <c r="H15" s="92"/>
      <c r="I15" s="90"/>
      <c r="J15" s="90"/>
      <c r="K15" s="90"/>
      <c r="L15" s="90"/>
      <c r="M15" s="90"/>
      <c r="N15" s="92"/>
      <c r="O15" s="92"/>
      <c r="P15" s="90"/>
      <c r="Q15" s="92"/>
      <c r="R15" s="90"/>
    </row>
    <row r="16" spans="2:18" ht="15" customHeight="1" x14ac:dyDescent="0.15">
      <c r="B16" s="1136" t="s">
        <v>1560</v>
      </c>
      <c r="C16" s="1708" t="s">
        <v>1561</v>
      </c>
      <c r="D16" s="92"/>
      <c r="E16" s="90"/>
      <c r="F16" s="91"/>
      <c r="G16" s="90"/>
      <c r="H16" s="92"/>
      <c r="I16" s="90"/>
      <c r="J16" s="90"/>
      <c r="K16" s="90"/>
      <c r="L16" s="90"/>
      <c r="M16" s="90"/>
      <c r="N16" s="92"/>
      <c r="O16" s="92"/>
      <c r="P16" s="90"/>
      <c r="Q16" s="92"/>
      <c r="R16" s="90"/>
    </row>
    <row r="17" spans="2:18" ht="15" customHeight="1" x14ac:dyDescent="0.15">
      <c r="B17" s="1136" t="s">
        <v>1562</v>
      </c>
      <c r="C17" s="1709" t="s">
        <v>1563</v>
      </c>
      <c r="D17" s="92"/>
      <c r="E17" s="90"/>
      <c r="F17" s="91"/>
      <c r="G17" s="90"/>
      <c r="H17" s="92"/>
      <c r="I17" s="90"/>
      <c r="J17" s="90"/>
      <c r="K17" s="90"/>
      <c r="L17" s="90"/>
      <c r="M17" s="90"/>
      <c r="N17" s="92"/>
      <c r="O17" s="92"/>
      <c r="P17" s="90"/>
      <c r="Q17" s="92"/>
      <c r="R17" s="90"/>
    </row>
    <row r="18" spans="2:18" ht="15" customHeight="1" x14ac:dyDescent="0.15">
      <c r="B18" s="1136" t="s">
        <v>1564</v>
      </c>
      <c r="C18" s="1709" t="s">
        <v>1565</v>
      </c>
      <c r="D18" s="92"/>
      <c r="E18" s="90"/>
      <c r="F18" s="91"/>
      <c r="G18" s="90"/>
      <c r="H18" s="92"/>
      <c r="I18" s="90"/>
      <c r="J18" s="90"/>
      <c r="K18" s="90"/>
      <c r="L18" s="90"/>
      <c r="M18" s="90"/>
      <c r="N18" s="92"/>
      <c r="O18" s="92"/>
      <c r="P18" s="90"/>
      <c r="Q18" s="92"/>
      <c r="R18" s="90"/>
    </row>
    <row r="19" spans="2:18" ht="15" customHeight="1" x14ac:dyDescent="0.2">
      <c r="B19" s="1136" t="s">
        <v>1566</v>
      </c>
      <c r="C19" s="1708" t="s">
        <v>1567</v>
      </c>
      <c r="D19" s="92"/>
      <c r="E19" s="90"/>
      <c r="F19" s="91"/>
      <c r="G19" s="90"/>
      <c r="H19" s="92"/>
      <c r="I19" s="90"/>
      <c r="J19" s="90"/>
      <c r="K19" s="90"/>
      <c r="L19" s="90"/>
      <c r="M19" s="90"/>
      <c r="N19" s="92"/>
      <c r="O19" s="92"/>
      <c r="P19" s="90"/>
      <c r="Q19" s="92"/>
      <c r="R19" s="90"/>
    </row>
    <row r="20" spans="2:18" ht="15" customHeight="1" x14ac:dyDescent="0.2">
      <c r="B20" s="1136" t="s">
        <v>1568</v>
      </c>
      <c r="C20" s="1708" t="s">
        <v>1569</v>
      </c>
      <c r="D20" s="92"/>
      <c r="E20" s="90"/>
      <c r="F20" s="91"/>
      <c r="G20" s="90"/>
      <c r="H20" s="92"/>
      <c r="I20" s="90"/>
      <c r="J20" s="90"/>
      <c r="K20" s="90"/>
      <c r="L20" s="90"/>
      <c r="M20" s="90"/>
      <c r="N20" s="92"/>
      <c r="O20" s="92"/>
      <c r="P20" s="90"/>
      <c r="Q20" s="92"/>
      <c r="R20" s="90"/>
    </row>
    <row r="21" spans="2:18" ht="15" customHeight="1" x14ac:dyDescent="0.15">
      <c r="B21" s="1136" t="s">
        <v>1570</v>
      </c>
      <c r="C21" s="1709" t="s">
        <v>1571</v>
      </c>
      <c r="D21" s="95"/>
      <c r="E21" s="93"/>
      <c r="F21" s="94"/>
      <c r="G21" s="93"/>
      <c r="H21" s="95"/>
      <c r="I21" s="93"/>
      <c r="J21" s="93"/>
      <c r="K21" s="93"/>
      <c r="L21" s="93"/>
      <c r="M21" s="93"/>
      <c r="N21" s="95"/>
      <c r="O21" s="95"/>
      <c r="P21" s="93"/>
      <c r="Q21" s="95"/>
      <c r="R21" s="93"/>
    </row>
    <row r="22" spans="2:18" ht="15" customHeight="1" x14ac:dyDescent="0.15">
      <c r="B22" s="1136" t="s">
        <v>1572</v>
      </c>
      <c r="C22" s="1709" t="s">
        <v>1573</v>
      </c>
      <c r="D22" s="92"/>
      <c r="E22" s="90"/>
      <c r="F22" s="91"/>
      <c r="G22" s="90"/>
      <c r="H22" s="92"/>
      <c r="I22" s="90"/>
      <c r="J22" s="90"/>
      <c r="K22" s="90"/>
      <c r="L22" s="90"/>
      <c r="M22" s="90"/>
      <c r="N22" s="92"/>
      <c r="O22" s="92"/>
      <c r="P22" s="90"/>
      <c r="Q22" s="92"/>
      <c r="R22" s="90"/>
    </row>
    <row r="23" spans="2:18" ht="15" customHeight="1" x14ac:dyDescent="0.15">
      <c r="B23" s="1136" t="s">
        <v>1574</v>
      </c>
      <c r="C23" s="1725" t="s">
        <v>1575</v>
      </c>
      <c r="D23" s="1167"/>
      <c r="E23" s="1168"/>
      <c r="F23" s="1169"/>
      <c r="G23" s="1168"/>
      <c r="H23" s="1167"/>
      <c r="I23" s="1168"/>
      <c r="J23" s="1168"/>
      <c r="K23" s="1168"/>
      <c r="L23" s="1168"/>
      <c r="M23" s="1168"/>
      <c r="N23" s="1167"/>
      <c r="O23" s="1168"/>
      <c r="P23" s="1168"/>
      <c r="Q23" s="1167"/>
      <c r="R23" s="1168"/>
    </row>
    <row r="24" spans="2:18" ht="15" customHeight="1" x14ac:dyDescent="0.15">
      <c r="B24" s="1136">
        <v>150</v>
      </c>
      <c r="C24" s="1726" t="s">
        <v>1576</v>
      </c>
      <c r="D24" s="86"/>
      <c r="E24" s="96"/>
      <c r="F24" s="97"/>
      <c r="G24" s="96"/>
      <c r="H24" s="86"/>
      <c r="I24" s="96"/>
      <c r="J24" s="96"/>
      <c r="K24" s="96"/>
      <c r="L24" s="96"/>
      <c r="M24" s="96"/>
      <c r="N24" s="86"/>
      <c r="O24" s="96"/>
      <c r="P24" s="96"/>
      <c r="Q24" s="86"/>
      <c r="R24" s="96"/>
    </row>
    <row r="25" spans="2:18" ht="14.25" x14ac:dyDescent="0.2">
      <c r="C25" s="29"/>
      <c r="D25" s="29"/>
      <c r="E25" s="29"/>
      <c r="F25" s="29"/>
      <c r="G25" s="29"/>
      <c r="H25" s="29"/>
      <c r="I25" s="29"/>
    </row>
    <row r="26" spans="2:18" s="101" customFormat="1" ht="14.25" x14ac:dyDescent="0.2">
      <c r="B26" s="29"/>
      <c r="C26" s="29"/>
      <c r="D26" s="29"/>
      <c r="E26" s="29"/>
    </row>
    <row r="27" spans="2:18" s="101" customFormat="1" ht="14.25" x14ac:dyDescent="0.2">
      <c r="B27" s="29"/>
      <c r="C27" s="29"/>
      <c r="D27" s="29"/>
      <c r="E27" s="29"/>
    </row>
    <row r="28" spans="2:18" s="29" customFormat="1" ht="14.25" x14ac:dyDescent="0.2"/>
    <row r="29" spans="2:18" s="29" customFormat="1" ht="14.25" x14ac:dyDescent="0.2"/>
    <row r="30" spans="2:18" s="29" customFormat="1" ht="14.25" x14ac:dyDescent="0.2"/>
    <row r="31" spans="2:18" s="29" customFormat="1" ht="14.25" x14ac:dyDescent="0.2"/>
    <row r="32" spans="2:18" s="29" customFormat="1" ht="14.25" x14ac:dyDescent="0.2"/>
    <row r="33" s="29" customFormat="1" ht="14.25" x14ac:dyDescent="0.2"/>
    <row r="34" s="29" customFormat="1" ht="14.25" x14ac:dyDescent="0.2"/>
    <row r="35" s="29" customFormat="1" ht="14.25" x14ac:dyDescent="0.2"/>
    <row r="36" s="29" customFormat="1" ht="14.25" x14ac:dyDescent="0.2"/>
    <row r="37" s="29" customFormat="1" ht="14.25" x14ac:dyDescent="0.2"/>
    <row r="38" s="29" customFormat="1" ht="14.25" x14ac:dyDescent="0.2"/>
    <row r="39" s="29" customFormat="1" ht="14.25" x14ac:dyDescent="0.2"/>
    <row r="40" s="29" customFormat="1" ht="14.25" x14ac:dyDescent="0.2"/>
    <row r="41" s="29" customFormat="1" ht="14.25" x14ac:dyDescent="0.2"/>
    <row r="42" s="29" customFormat="1" ht="14.25" x14ac:dyDescent="0.2"/>
    <row r="43" s="29" customFormat="1" ht="14.25" x14ac:dyDescent="0.2"/>
    <row r="44" s="29" customFormat="1" ht="14.25" x14ac:dyDescent="0.2"/>
    <row r="45" s="29" customFormat="1" ht="14.25" x14ac:dyDescent="0.2"/>
    <row r="46" s="29" customFormat="1" ht="14.25" x14ac:dyDescent="0.2"/>
    <row r="47" s="29" customFormat="1" ht="14.25" x14ac:dyDescent="0.2"/>
    <row r="48" s="29" customFormat="1" ht="14.25" x14ac:dyDescent="0.2"/>
    <row r="49" s="29" customFormat="1" ht="14.25" x14ac:dyDescent="0.2"/>
    <row r="50" s="29" customFormat="1" ht="14.25" x14ac:dyDescent="0.2"/>
    <row r="51" s="29" customFormat="1" ht="14.25" x14ac:dyDescent="0.2"/>
    <row r="52" s="29" customFormat="1" ht="14.25" x14ac:dyDescent="0.2"/>
    <row r="53" s="29" customFormat="1" ht="14.25" x14ac:dyDescent="0.2"/>
    <row r="54" s="29" customFormat="1" ht="14.25" x14ac:dyDescent="0.2"/>
    <row r="55" s="29" customFormat="1" ht="13.8" x14ac:dyDescent="0.25"/>
    <row r="56" s="29" customFormat="1" ht="13.8" x14ac:dyDescent="0.25"/>
    <row r="57" s="29" customFormat="1" ht="13.8" x14ac:dyDescent="0.25"/>
    <row r="58" s="29" customFormat="1" ht="13.8" x14ac:dyDescent="0.25"/>
    <row r="59" s="29" customFormat="1" ht="13.8" x14ac:dyDescent="0.25"/>
    <row r="60" s="29" customFormat="1" ht="13.8" x14ac:dyDescent="0.25"/>
    <row r="61" s="29" customFormat="1" ht="13.8" x14ac:dyDescent="0.25"/>
    <row r="62" s="29" customFormat="1" ht="13.8" x14ac:dyDescent="0.25"/>
    <row r="63" s="29" customFormat="1" ht="13.8" x14ac:dyDescent="0.25"/>
    <row r="64" s="29" customFormat="1" ht="13.8" x14ac:dyDescent="0.25"/>
    <row r="65" s="29" customFormat="1" ht="13.8" x14ac:dyDescent="0.25"/>
    <row r="66" s="29" customFormat="1" ht="13.8" x14ac:dyDescent="0.25"/>
    <row r="67" s="29" customFormat="1" ht="13.8" x14ac:dyDescent="0.25"/>
    <row r="68" s="29" customFormat="1" ht="13.8" x14ac:dyDescent="0.25"/>
    <row r="69" s="29" customFormat="1" ht="13.8" x14ac:dyDescent="0.25"/>
    <row r="70" s="29" customFormat="1" ht="13.8" x14ac:dyDescent="0.25"/>
    <row r="71" s="29" customFormat="1" ht="13.8" x14ac:dyDescent="0.25"/>
  </sheetData>
  <mergeCells count="1">
    <mergeCell ref="B2:R2"/>
  </mergeCells>
  <printOptions horizontalCentered="1" verticalCentered="1"/>
  <pageMargins left="0.19685039370078741" right="0" top="0.74803149606299213" bottom="0.74803149606299213" header="0.31496062992125984" footer="0.31496062992125984"/>
  <pageSetup paperSize="9" scale="43" orientation="landscape" r:id="rId1"/>
  <headerFooter>
    <oddHeader>&amp;CFR
ANNEXE I</oddHeader>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H52"/>
  <sheetViews>
    <sheetView showGridLines="0" zoomScale="80" zoomScaleNormal="80" zoomScaleSheetLayoutView="90" workbookViewId="0">
      <selection activeCell="C35" sqref="C35"/>
    </sheetView>
  </sheetViews>
  <sheetFormatPr defaultColWidth="9.109375" defaultRowHeight="10.199999999999999" x14ac:dyDescent="0.2"/>
  <cols>
    <col min="1" max="1" width="1.5546875" style="82" customWidth="1"/>
    <col min="2" max="2" width="6" style="82" customWidth="1"/>
    <col min="3" max="3" width="49.5546875" style="82" customWidth="1"/>
    <col min="4" max="4" width="18.5546875" style="82" customWidth="1"/>
    <col min="5" max="5" width="19.6640625" style="82" customWidth="1"/>
    <col min="6" max="6" width="27.5546875" style="82" customWidth="1"/>
    <col min="7" max="8" width="20.44140625" style="82" customWidth="1"/>
    <col min="9" max="9" width="18.5546875" style="82" customWidth="1"/>
    <col min="10" max="10" width="21.33203125" style="82" customWidth="1"/>
    <col min="11" max="11" width="17.88671875" style="82" customWidth="1"/>
    <col min="12" max="12" width="16.109375" style="82" customWidth="1"/>
    <col min="13" max="14" width="18.109375" style="82" customWidth="1"/>
    <col min="15" max="15" width="20.44140625" style="82" customWidth="1"/>
    <col min="16" max="16" width="18.44140625" style="82" customWidth="1"/>
    <col min="17" max="17" width="19.6640625" style="82" customWidth="1"/>
    <col min="18" max="18" width="15.88671875" style="82" customWidth="1"/>
    <col min="19" max="16384" width="9.109375" style="82"/>
  </cols>
  <sheetData>
    <row r="1" spans="1:8" ht="11.25" thickBot="1" x14ac:dyDescent="0.2"/>
    <row r="2" spans="1:8" s="29" customFormat="1" ht="89.25" customHeight="1" thickBot="1" x14ac:dyDescent="0.3">
      <c r="A2" s="83"/>
      <c r="B2" s="1972" t="s">
        <v>1577</v>
      </c>
      <c r="C2" s="1973"/>
      <c r="D2" s="1973"/>
      <c r="E2" s="1973"/>
      <c r="F2" s="1974"/>
    </row>
    <row r="3" spans="1:8" ht="4.5" customHeight="1" x14ac:dyDescent="0.15">
      <c r="C3" s="84"/>
      <c r="D3" s="85"/>
      <c r="E3" s="85"/>
      <c r="F3" s="85"/>
      <c r="G3" s="85"/>
      <c r="H3" s="85"/>
    </row>
    <row r="4" spans="1:8" ht="15" customHeight="1" x14ac:dyDescent="0.15">
      <c r="C4" s="1135" t="s">
        <v>1578</v>
      </c>
      <c r="D4" s="86"/>
      <c r="E4" s="1657"/>
      <c r="F4" s="85"/>
      <c r="G4" s="85"/>
      <c r="H4" s="85"/>
    </row>
    <row r="5" spans="1:8" ht="5.25" customHeight="1" x14ac:dyDescent="0.15">
      <c r="C5" s="87"/>
    </row>
    <row r="6" spans="1:8" s="101" customFormat="1" ht="20.25" customHeight="1" x14ac:dyDescent="0.2">
      <c r="A6" s="82"/>
      <c r="B6" s="1159"/>
      <c r="C6" s="1160"/>
      <c r="D6" s="1163" t="s">
        <v>1579</v>
      </c>
      <c r="E6" s="1163" t="s">
        <v>1580</v>
      </c>
      <c r="F6" s="1163" t="s">
        <v>1581</v>
      </c>
    </row>
    <row r="7" spans="1:8" s="102" customFormat="1" ht="10.5" customHeight="1" x14ac:dyDescent="0.15">
      <c r="A7" s="82"/>
      <c r="B7" s="1161"/>
      <c r="C7" s="1658"/>
      <c r="D7" s="1138" t="s">
        <v>1582</v>
      </c>
      <c r="E7" s="1138" t="s">
        <v>1583</v>
      </c>
      <c r="F7" s="1166" t="s">
        <v>1584</v>
      </c>
    </row>
    <row r="8" spans="1:8" s="102" customFormat="1" ht="15" customHeight="1" x14ac:dyDescent="0.2">
      <c r="A8" s="82"/>
      <c r="B8" s="1671" t="s">
        <v>1585</v>
      </c>
      <c r="C8" s="1672"/>
      <c r="D8" s="1138"/>
      <c r="E8" s="1138"/>
      <c r="F8" s="1166"/>
    </row>
    <row r="9" spans="1:8" s="101" customFormat="1" ht="13.8" x14ac:dyDescent="0.25">
      <c r="A9" s="82"/>
      <c r="B9" s="1136" t="s">
        <v>1586</v>
      </c>
      <c r="C9" s="1682" t="s">
        <v>1587</v>
      </c>
      <c r="D9" s="1682"/>
      <c r="E9" s="1660"/>
      <c r="F9" s="1660"/>
    </row>
    <row r="10" spans="1:8" s="101" customFormat="1" ht="13.8" x14ac:dyDescent="0.25">
      <c r="A10" s="82"/>
      <c r="B10" s="1136" t="s">
        <v>1588</v>
      </c>
      <c r="C10" s="1682" t="s">
        <v>1589</v>
      </c>
      <c r="D10" s="1682"/>
      <c r="E10" s="1661"/>
      <c r="F10" s="1661"/>
    </row>
    <row r="11" spans="1:8" s="29" customFormat="1" ht="15" customHeight="1" x14ac:dyDescent="0.25">
      <c r="A11" s="82"/>
      <c r="B11" s="1673" t="s">
        <v>1590</v>
      </c>
      <c r="C11" s="1659"/>
      <c r="D11" s="1662"/>
      <c r="E11" s="1663"/>
      <c r="F11" s="1663"/>
    </row>
    <row r="12" spans="1:8" s="29" customFormat="1" ht="21" x14ac:dyDescent="0.25">
      <c r="A12" s="82"/>
      <c r="B12" s="1136" t="s">
        <v>1591</v>
      </c>
      <c r="C12" s="1683" t="s">
        <v>1592</v>
      </c>
      <c r="D12" s="1682"/>
      <c r="E12" s="1664"/>
      <c r="F12" s="1664"/>
    </row>
    <row r="13" spans="1:8" s="29" customFormat="1" ht="13.8" x14ac:dyDescent="0.25">
      <c r="A13" s="82"/>
      <c r="B13" s="1136" t="s">
        <v>1593</v>
      </c>
      <c r="C13" s="1682" t="s">
        <v>1594</v>
      </c>
      <c r="D13" s="1682"/>
      <c r="E13" s="1661"/>
      <c r="F13" s="1661"/>
    </row>
    <row r="14" spans="1:8" s="29" customFormat="1" ht="15" customHeight="1" x14ac:dyDescent="0.25">
      <c r="A14" s="82"/>
      <c r="B14" s="1673" t="s">
        <v>1595</v>
      </c>
      <c r="C14" s="1659"/>
      <c r="D14" s="1662"/>
      <c r="E14" s="1663"/>
      <c r="F14" s="1665"/>
    </row>
    <row r="15" spans="1:8" s="29" customFormat="1" ht="21" x14ac:dyDescent="0.25">
      <c r="A15" s="82"/>
      <c r="B15" s="1136" t="s">
        <v>1596</v>
      </c>
      <c r="C15" s="1683" t="s">
        <v>1597</v>
      </c>
      <c r="D15" s="1682"/>
      <c r="E15" s="1661"/>
      <c r="F15" s="1661"/>
    </row>
    <row r="16" spans="1:8" s="29" customFormat="1" ht="21" x14ac:dyDescent="0.25">
      <c r="A16" s="82"/>
      <c r="B16" s="1136" t="s">
        <v>1598</v>
      </c>
      <c r="C16" s="1683" t="s">
        <v>1599</v>
      </c>
      <c r="D16" s="1682"/>
      <c r="E16" s="1666"/>
      <c r="F16" s="1661"/>
    </row>
    <row r="17" spans="1:6" s="29" customFormat="1" ht="15" customHeight="1" x14ac:dyDescent="0.25">
      <c r="A17" s="82"/>
      <c r="B17" s="1673" t="s">
        <v>1600</v>
      </c>
      <c r="C17" s="1659"/>
      <c r="D17" s="1662"/>
      <c r="E17" s="1663"/>
      <c r="F17" s="1665"/>
    </row>
    <row r="18" spans="1:6" s="29" customFormat="1" ht="14.25" x14ac:dyDescent="0.2">
      <c r="A18" s="82"/>
      <c r="B18" s="1136" t="s">
        <v>1601</v>
      </c>
      <c r="C18" s="1682" t="s">
        <v>1602</v>
      </c>
      <c r="D18" s="1682"/>
      <c r="E18" s="1661"/>
      <c r="F18" s="1661"/>
    </row>
    <row r="19" spans="1:6" s="29" customFormat="1" ht="13.8" x14ac:dyDescent="0.25">
      <c r="A19" s="82"/>
      <c r="B19" s="1136" t="s">
        <v>1603</v>
      </c>
      <c r="C19" s="1682" t="s">
        <v>1604</v>
      </c>
      <c r="D19" s="1682"/>
      <c r="E19" s="1661"/>
      <c r="F19" s="1661"/>
    </row>
    <row r="20" spans="1:6" s="29" customFormat="1" ht="13.8" x14ac:dyDescent="0.25">
      <c r="A20" s="82"/>
      <c r="B20" s="1136" t="s">
        <v>1605</v>
      </c>
      <c r="C20" s="1682" t="s">
        <v>1606</v>
      </c>
      <c r="D20" s="1682"/>
      <c r="E20" s="1661"/>
      <c r="F20" s="1661"/>
    </row>
    <row r="21" spans="1:6" s="29" customFormat="1" ht="31.2" x14ac:dyDescent="0.25">
      <c r="A21" s="82"/>
      <c r="B21" s="1136" t="s">
        <v>1607</v>
      </c>
      <c r="C21" s="1683" t="s">
        <v>1608</v>
      </c>
      <c r="D21" s="1682"/>
      <c r="E21" s="1661"/>
      <c r="F21" s="1661"/>
    </row>
    <row r="22" spans="1:6" s="29" customFormat="1" ht="13.8" x14ac:dyDescent="0.25">
      <c r="A22" s="82"/>
      <c r="B22" s="1136" t="s">
        <v>1609</v>
      </c>
      <c r="C22" s="1682" t="s">
        <v>1610</v>
      </c>
      <c r="D22" s="1661"/>
      <c r="E22" s="1682"/>
      <c r="F22" s="1661"/>
    </row>
    <row r="23" spans="1:6" s="29" customFormat="1" ht="15" customHeight="1" x14ac:dyDescent="0.2">
      <c r="A23" s="82"/>
      <c r="B23" s="1673" t="s">
        <v>1611</v>
      </c>
      <c r="C23" s="1659"/>
      <c r="D23" s="1662"/>
      <c r="E23" s="1663"/>
      <c r="F23" s="1665"/>
    </row>
    <row r="24" spans="1:6" s="29" customFormat="1" ht="13.8" x14ac:dyDescent="0.25">
      <c r="A24" s="82"/>
      <c r="B24" s="1136" t="s">
        <v>1612</v>
      </c>
      <c r="C24" s="1682" t="s">
        <v>1613</v>
      </c>
      <c r="D24" s="1667"/>
      <c r="E24" s="1682"/>
      <c r="F24" s="1667"/>
    </row>
    <row r="25" spans="1:6" s="29" customFormat="1" ht="21" x14ac:dyDescent="0.25">
      <c r="A25" s="82"/>
      <c r="B25" s="1668" t="s">
        <v>1614</v>
      </c>
      <c r="C25" s="1683" t="s">
        <v>1615</v>
      </c>
      <c r="D25" s="1667"/>
      <c r="E25" s="1682"/>
      <c r="F25" s="1667"/>
    </row>
    <row r="26" spans="1:6" s="29" customFormat="1" ht="13.8" x14ac:dyDescent="0.25">
      <c r="A26" s="82"/>
      <c r="B26" s="1136">
        <v>140</v>
      </c>
      <c r="C26" s="1682" t="s">
        <v>1616</v>
      </c>
      <c r="D26" s="1669"/>
      <c r="E26" s="1682"/>
      <c r="F26" s="1669"/>
    </row>
    <row r="27" spans="1:6" s="29" customFormat="1" ht="15" customHeight="1" x14ac:dyDescent="0.25">
      <c r="A27" s="82"/>
      <c r="B27" s="1673" t="s">
        <v>1617</v>
      </c>
      <c r="C27" s="1659"/>
      <c r="D27" s="1662"/>
      <c r="E27" s="1663"/>
      <c r="F27" s="1665"/>
    </row>
    <row r="28" spans="1:6" s="29" customFormat="1" ht="13.8" x14ac:dyDescent="0.25">
      <c r="A28" s="101"/>
      <c r="B28" s="1136">
        <v>150</v>
      </c>
      <c r="C28" s="1682" t="s">
        <v>1618</v>
      </c>
      <c r="D28" s="1660"/>
      <c r="E28" s="1660"/>
      <c r="F28" s="1682"/>
    </row>
    <row r="29" spans="1:6" s="29" customFormat="1" ht="13.8" x14ac:dyDescent="0.25">
      <c r="B29" s="1136">
        <v>160</v>
      </c>
      <c r="C29" s="1684" t="s">
        <v>1619</v>
      </c>
      <c r="D29" s="1669"/>
      <c r="E29" s="1669"/>
      <c r="F29" s="1684"/>
    </row>
    <row r="30" spans="1:6" s="29" customFormat="1" ht="14.25" x14ac:dyDescent="0.2"/>
    <row r="31" spans="1:6" s="29" customFormat="1" ht="14.25" x14ac:dyDescent="0.2"/>
    <row r="32" spans="1:6" s="29" customFormat="1" ht="14.25" x14ac:dyDescent="0.2"/>
    <row r="33" s="29" customFormat="1" ht="14.25" x14ac:dyDescent="0.2"/>
    <row r="34" s="29" customFormat="1" ht="14.25" x14ac:dyDescent="0.2"/>
    <row r="35" s="29" customFormat="1" ht="14.25" x14ac:dyDescent="0.2"/>
    <row r="36" s="29" customFormat="1" ht="14.25" x14ac:dyDescent="0.2"/>
    <row r="37" s="29" customFormat="1" ht="14.25" x14ac:dyDescent="0.2"/>
    <row r="38" s="29" customFormat="1" ht="13.8" x14ac:dyDescent="0.25"/>
    <row r="39" s="29" customFormat="1" ht="13.8" x14ac:dyDescent="0.25"/>
    <row r="40" s="29" customFormat="1" ht="13.8" x14ac:dyDescent="0.25"/>
    <row r="41" s="29" customFormat="1" ht="13.8" x14ac:dyDescent="0.25"/>
    <row r="42" s="29" customFormat="1" ht="13.8" x14ac:dyDescent="0.25"/>
    <row r="43" s="29" customFormat="1" ht="13.8" x14ac:dyDescent="0.25"/>
    <row r="44" s="29" customFormat="1" ht="13.8" x14ac:dyDescent="0.25"/>
    <row r="45" s="29" customFormat="1" ht="13.8" x14ac:dyDescent="0.25"/>
    <row r="46" s="29" customFormat="1" ht="13.8" x14ac:dyDescent="0.25"/>
    <row r="47" s="29" customFormat="1" ht="13.8" x14ac:dyDescent="0.25"/>
    <row r="48" s="29" customFormat="1" ht="13.8" x14ac:dyDescent="0.25"/>
    <row r="49" s="29" customFormat="1" ht="13.8" x14ac:dyDescent="0.25"/>
    <row r="50" s="29" customFormat="1" ht="13.8" x14ac:dyDescent="0.25"/>
    <row r="51" s="29" customFormat="1" ht="13.8" x14ac:dyDescent="0.25"/>
    <row r="52" s="29" customFormat="1" ht="13.8" x14ac:dyDescent="0.25"/>
  </sheetData>
  <mergeCells count="1">
    <mergeCell ref="B2:F2"/>
  </mergeCells>
  <printOptions horizontalCentered="1" verticalCentered="1"/>
  <pageMargins left="0.19685039370078741" right="0" top="0.74803149606299213" bottom="0.74803149606299213" header="0.31496062992125984" footer="0.31496062992125984"/>
  <pageSetup paperSize="9" scale="97" orientation="landscape" r:id="rId1"/>
  <headerFooter>
    <oddHeader>&amp;CFR
ANNEXE I</oddHeader>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B1:L20"/>
  <sheetViews>
    <sheetView showGridLines="0" zoomScale="40" zoomScaleNormal="40" zoomScalePageLayoutView="80" workbookViewId="0">
      <selection activeCell="D37" sqref="D37"/>
    </sheetView>
  </sheetViews>
  <sheetFormatPr defaultColWidth="19.109375" defaultRowHeight="13.8" x14ac:dyDescent="0.25"/>
  <cols>
    <col min="1" max="1" width="2" style="1078" customWidth="1"/>
    <col min="2" max="2" width="12.33203125" style="1078" customWidth="1"/>
    <col min="3" max="3" width="80.6640625" style="1078" customWidth="1"/>
    <col min="4" max="12" width="29.44140625" style="1078" customWidth="1"/>
    <col min="13" max="251" width="11.44140625" style="1078" customWidth="1"/>
    <col min="252" max="252" width="12.33203125" style="1078" customWidth="1"/>
    <col min="253" max="253" width="68.44140625" style="1078" customWidth="1"/>
    <col min="254" max="254" width="21" style="1078" customWidth="1"/>
    <col min="255" max="255" width="19.44140625" style="1078" customWidth="1"/>
    <col min="256" max="16384" width="19.109375" style="1078"/>
  </cols>
  <sheetData>
    <row r="1" spans="2:12" ht="12" customHeight="1" thickBot="1" x14ac:dyDescent="0.25"/>
    <row r="2" spans="2:12" ht="28.8" thickBot="1" x14ac:dyDescent="0.3">
      <c r="B2" s="1978" t="s">
        <v>1620</v>
      </c>
      <c r="C2" s="1979"/>
      <c r="D2" s="1979"/>
      <c r="E2" s="1979"/>
      <c r="F2" s="1979"/>
      <c r="G2" s="1979"/>
      <c r="H2" s="1979"/>
      <c r="I2" s="1979"/>
      <c r="J2" s="1979"/>
      <c r="K2" s="1979"/>
      <c r="L2" s="1980"/>
    </row>
    <row r="3" spans="2:12" ht="12.75" customHeight="1" thickBot="1" x14ac:dyDescent="0.3">
      <c r="B3" s="1110"/>
      <c r="C3" s="1111"/>
      <c r="D3" s="1112"/>
      <c r="E3" s="1112"/>
      <c r="F3" s="1112"/>
      <c r="G3" s="1112"/>
      <c r="H3" s="1112"/>
      <c r="I3" s="1112"/>
      <c r="J3" s="1113"/>
      <c r="K3" s="103"/>
      <c r="L3" s="103"/>
    </row>
    <row r="4" spans="2:12" ht="63.75" customHeight="1" x14ac:dyDescent="0.3">
      <c r="B4" s="1114"/>
      <c r="C4" s="1115"/>
      <c r="D4" s="1981" t="s">
        <v>1621</v>
      </c>
      <c r="E4" s="1983" t="s">
        <v>1622</v>
      </c>
      <c r="F4" s="1986" t="s">
        <v>1623</v>
      </c>
      <c r="G4" s="1987"/>
      <c r="H4" s="1988"/>
      <c r="I4" s="1989" t="s">
        <v>1624</v>
      </c>
      <c r="J4" s="1992" t="s">
        <v>1625</v>
      </c>
      <c r="K4" s="1992" t="s">
        <v>1626</v>
      </c>
      <c r="L4" s="1116" t="s">
        <v>1627</v>
      </c>
    </row>
    <row r="5" spans="2:12" ht="52.2" x14ac:dyDescent="0.25">
      <c r="B5" s="1117"/>
      <c r="C5" s="1079"/>
      <c r="D5" s="1982"/>
      <c r="E5" s="1984"/>
      <c r="F5" s="1991" t="s">
        <v>1628</v>
      </c>
      <c r="G5" s="1995"/>
      <c r="H5" s="1093" t="s">
        <v>1629</v>
      </c>
      <c r="I5" s="1990"/>
      <c r="J5" s="1993"/>
      <c r="K5" s="1993"/>
      <c r="L5" s="1996" t="s">
        <v>1630</v>
      </c>
    </row>
    <row r="6" spans="2:12" ht="17.399999999999999" x14ac:dyDescent="0.3">
      <c r="B6" s="1117"/>
      <c r="C6" s="1080"/>
      <c r="D6" s="1999" t="s">
        <v>1631</v>
      </c>
      <c r="E6" s="1984"/>
      <c r="F6" s="2000" t="s">
        <v>1632</v>
      </c>
      <c r="G6" s="2000" t="s">
        <v>1633</v>
      </c>
      <c r="H6" s="2000" t="s">
        <v>1634</v>
      </c>
      <c r="I6" s="1990"/>
      <c r="J6" s="1993"/>
      <c r="K6" s="1993"/>
      <c r="L6" s="1997"/>
    </row>
    <row r="7" spans="2:12" ht="61.5" customHeight="1" x14ac:dyDescent="0.25">
      <c r="B7" s="1117"/>
      <c r="C7" s="1081"/>
      <c r="D7" s="1982"/>
      <c r="E7" s="1985"/>
      <c r="F7" s="1985"/>
      <c r="G7" s="1985"/>
      <c r="H7" s="1985"/>
      <c r="I7" s="1991"/>
      <c r="J7" s="1994"/>
      <c r="K7" s="1994"/>
      <c r="L7" s="1998"/>
    </row>
    <row r="8" spans="2:12" ht="25.5" customHeight="1" x14ac:dyDescent="0.2">
      <c r="B8" s="1118"/>
      <c r="C8" s="1082"/>
      <c r="D8" s="1087" t="s">
        <v>1635</v>
      </c>
      <c r="E8" s="1088" t="s">
        <v>1636</v>
      </c>
      <c r="F8" s="1087" t="s">
        <v>1637</v>
      </c>
      <c r="G8" s="1088" t="s">
        <v>1638</v>
      </c>
      <c r="H8" s="1087" t="s">
        <v>1639</v>
      </c>
      <c r="I8" s="1089" t="s">
        <v>1640</v>
      </c>
      <c r="J8" s="1088" t="s">
        <v>1641</v>
      </c>
      <c r="K8" s="1088" t="s">
        <v>1642</v>
      </c>
      <c r="L8" s="1119" t="s">
        <v>1643</v>
      </c>
    </row>
    <row r="9" spans="2:12" ht="42.75" customHeight="1" x14ac:dyDescent="0.25">
      <c r="B9" s="1120" t="s">
        <v>1644</v>
      </c>
      <c r="C9" s="1083" t="s">
        <v>1645</v>
      </c>
      <c r="D9" s="1094"/>
      <c r="E9" s="1095"/>
      <c r="F9" s="1095"/>
      <c r="G9" s="1095"/>
      <c r="H9" s="1095"/>
      <c r="I9" s="1095"/>
      <c r="J9" s="1095"/>
      <c r="K9" s="1096" t="s">
        <v>1646</v>
      </c>
      <c r="L9" s="1121"/>
    </row>
    <row r="10" spans="2:12" ht="32.25" customHeight="1" x14ac:dyDescent="0.25">
      <c r="B10" s="1122" t="s">
        <v>1647</v>
      </c>
      <c r="C10" s="1084" t="s">
        <v>1648</v>
      </c>
      <c r="D10" s="1097"/>
      <c r="E10" s="1098"/>
      <c r="F10" s="1098"/>
      <c r="G10" s="1098"/>
      <c r="H10" s="1098"/>
      <c r="I10" s="1098"/>
      <c r="J10" s="1098"/>
      <c r="K10" s="1098"/>
      <c r="L10" s="1123"/>
    </row>
    <row r="11" spans="2:12" ht="32.25" customHeight="1" x14ac:dyDescent="0.25">
      <c r="B11" s="1122" t="s">
        <v>1649</v>
      </c>
      <c r="C11" s="1084" t="s">
        <v>1650</v>
      </c>
      <c r="D11" s="1099"/>
      <c r="E11" s="1100"/>
      <c r="F11" s="1100"/>
      <c r="G11" s="1100"/>
      <c r="H11" s="1100"/>
      <c r="I11" s="1100"/>
      <c r="J11" s="1101"/>
      <c r="K11" s="1100"/>
      <c r="L11" s="1124"/>
    </row>
    <row r="12" spans="2:12" ht="32.25" customHeight="1" x14ac:dyDescent="0.25">
      <c r="B12" s="1122" t="s">
        <v>1651</v>
      </c>
      <c r="C12" s="1975" t="s">
        <v>1652</v>
      </c>
      <c r="D12" s="1976"/>
      <c r="E12" s="1976"/>
      <c r="F12" s="1976"/>
      <c r="G12" s="1976"/>
      <c r="H12" s="1976"/>
      <c r="I12" s="1976"/>
      <c r="J12" s="1976"/>
      <c r="K12" s="1976"/>
      <c r="L12" s="1977"/>
    </row>
    <row r="13" spans="2:12" ht="32.25" customHeight="1" x14ac:dyDescent="0.25">
      <c r="B13" s="1122" t="s">
        <v>1653</v>
      </c>
      <c r="C13" s="1085" t="s">
        <v>1654</v>
      </c>
      <c r="D13" s="1102"/>
      <c r="E13" s="1096"/>
      <c r="F13" s="1103"/>
      <c r="G13" s="1103"/>
      <c r="H13" s="1103"/>
      <c r="I13" s="1096"/>
      <c r="J13" s="1103"/>
      <c r="K13" s="1096"/>
      <c r="L13" s="1125"/>
    </row>
    <row r="14" spans="2:12" ht="32.25" customHeight="1" x14ac:dyDescent="0.2">
      <c r="B14" s="1122" t="s">
        <v>1655</v>
      </c>
      <c r="C14" s="1085">
        <v>2.9</v>
      </c>
      <c r="D14" s="1104"/>
      <c r="E14" s="1105"/>
      <c r="F14" s="1106"/>
      <c r="G14" s="1106"/>
      <c r="H14" s="1106"/>
      <c r="I14" s="1105"/>
      <c r="J14" s="1106"/>
      <c r="K14" s="1105"/>
      <c r="L14" s="1126"/>
    </row>
    <row r="15" spans="2:12" ht="32.25" customHeight="1" x14ac:dyDescent="0.2">
      <c r="B15" s="1122" t="s">
        <v>1656</v>
      </c>
      <c r="C15" s="1086">
        <v>3.7</v>
      </c>
      <c r="D15" s="1104"/>
      <c r="E15" s="1105"/>
      <c r="F15" s="1106"/>
      <c r="G15" s="1106"/>
      <c r="H15" s="1106"/>
      <c r="I15" s="1105"/>
      <c r="J15" s="1106"/>
      <c r="K15" s="1105"/>
      <c r="L15" s="1126"/>
    </row>
    <row r="16" spans="2:12" ht="32.25" customHeight="1" x14ac:dyDescent="0.3">
      <c r="B16" s="1122" t="s">
        <v>1657</v>
      </c>
      <c r="C16" s="1544" t="s">
        <v>1658</v>
      </c>
      <c r="D16" s="1104"/>
      <c r="E16" s="1107"/>
      <c r="F16" s="1108"/>
      <c r="G16" s="1108"/>
      <c r="H16" s="1108"/>
      <c r="I16" s="1108"/>
      <c r="J16" s="1108"/>
      <c r="K16" s="1109"/>
      <c r="L16" s="1127"/>
    </row>
    <row r="17" spans="2:12" ht="35.4" thickBot="1" x14ac:dyDescent="0.35">
      <c r="B17" s="1128">
        <v>110</v>
      </c>
      <c r="C17" s="1129" t="s">
        <v>1659</v>
      </c>
      <c r="D17" s="1130"/>
      <c r="E17" s="1131"/>
      <c r="F17" s="1131"/>
      <c r="G17" s="1131"/>
      <c r="H17" s="1131"/>
      <c r="I17" s="1131"/>
      <c r="J17" s="1132"/>
      <c r="K17" s="1133"/>
      <c r="L17" s="1134"/>
    </row>
    <row r="18" spans="2:12" ht="27" customHeight="1" x14ac:dyDescent="0.2">
      <c r="C18" s="104"/>
      <c r="D18" s="105"/>
      <c r="E18" s="105"/>
      <c r="F18" s="105"/>
      <c r="G18" s="105"/>
      <c r="H18" s="105"/>
      <c r="I18" s="105"/>
      <c r="J18" s="106"/>
      <c r="K18" s="106"/>
      <c r="L18" s="106"/>
    </row>
    <row r="20" spans="2:12" ht="18" x14ac:dyDescent="0.2">
      <c r="C20" s="108"/>
    </row>
  </sheetData>
  <mergeCells count="14">
    <mergeCell ref="C12:L12"/>
    <mergeCell ref="B2:L2"/>
    <mergeCell ref="D4:D5"/>
    <mergeCell ref="E4:E7"/>
    <mergeCell ref="F4:H4"/>
    <mergeCell ref="I4:I7"/>
    <mergeCell ref="J4:J7"/>
    <mergeCell ref="K4:K7"/>
    <mergeCell ref="F5:G5"/>
    <mergeCell ref="L5:L7"/>
    <mergeCell ref="D6:D7"/>
    <mergeCell ref="F6:F7"/>
    <mergeCell ref="G6:G7"/>
    <mergeCell ref="H6:H7"/>
  </mergeCells>
  <printOptions horizontalCentered="1" verticalCentered="1"/>
  <pageMargins left="0.39370078740157483" right="0.39370078740157483" top="0.98425196850393704" bottom="0.98425196850393704" header="0.51181102362204722" footer="0.51181102362204722"/>
  <pageSetup paperSize="9" scale="39" orientation="landscape" r:id="rId1"/>
  <headerFooter>
    <oddHeader>&amp;CFR
ANNEXE I</oddHeader>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B1:K11"/>
  <sheetViews>
    <sheetView showGridLines="0" zoomScale="70" zoomScaleNormal="70" zoomScalePageLayoutView="50" workbookViewId="0">
      <selection activeCell="E34" sqref="E34"/>
    </sheetView>
  </sheetViews>
  <sheetFormatPr defaultColWidth="19.44140625" defaultRowHeight="13.8" x14ac:dyDescent="0.25"/>
  <cols>
    <col min="1" max="1" width="2" style="1078" customWidth="1"/>
    <col min="2" max="2" width="33.44140625" style="1078" customWidth="1"/>
    <col min="3" max="11" width="29.44140625" style="1078" customWidth="1"/>
    <col min="12" max="250" width="11.44140625" style="1078" customWidth="1"/>
    <col min="251" max="251" width="12.33203125" style="1078" customWidth="1"/>
    <col min="252" max="252" width="68.44140625" style="1078" customWidth="1"/>
    <col min="253" max="253" width="21" style="1078" customWidth="1"/>
    <col min="254" max="16384" width="19.44140625" style="1078"/>
  </cols>
  <sheetData>
    <row r="1" spans="2:11" ht="12" customHeight="1" thickBot="1" x14ac:dyDescent="0.25"/>
    <row r="2" spans="2:11" ht="66" customHeight="1" thickBot="1" x14ac:dyDescent="0.3">
      <c r="B2" s="2001" t="s">
        <v>1660</v>
      </c>
      <c r="C2" s="2002"/>
      <c r="D2" s="2002"/>
      <c r="E2" s="2002"/>
      <c r="F2" s="2002"/>
      <c r="G2" s="2002"/>
      <c r="H2" s="2002"/>
      <c r="I2" s="2002"/>
      <c r="J2" s="2002"/>
      <c r="K2" s="2003"/>
    </row>
    <row r="3" spans="2:11" ht="15" customHeight="1" x14ac:dyDescent="0.2">
      <c r="B3" s="107"/>
    </row>
    <row r="4" spans="2:11" ht="48.75" customHeight="1" x14ac:dyDescent="0.25">
      <c r="B4" s="2000" t="s">
        <v>1661</v>
      </c>
      <c r="C4" s="2005" t="s">
        <v>1662</v>
      </c>
      <c r="D4" s="2000" t="s">
        <v>1663</v>
      </c>
      <c r="E4" s="1090" t="s">
        <v>1664</v>
      </c>
      <c r="F4" s="1091"/>
      <c r="G4" s="1091"/>
      <c r="H4" s="2006" t="s">
        <v>1665</v>
      </c>
      <c r="I4" s="2004" t="s">
        <v>1666</v>
      </c>
      <c r="J4" s="2004" t="s">
        <v>1667</v>
      </c>
      <c r="K4" s="1092" t="s">
        <v>1668</v>
      </c>
    </row>
    <row r="5" spans="2:11" ht="52.2" x14ac:dyDescent="0.25">
      <c r="B5" s="1984"/>
      <c r="C5" s="1982"/>
      <c r="D5" s="1984"/>
      <c r="E5" s="1991" t="s">
        <v>1669</v>
      </c>
      <c r="F5" s="1995"/>
      <c r="G5" s="1093" t="s">
        <v>1670</v>
      </c>
      <c r="H5" s="1990"/>
      <c r="I5" s="1993"/>
      <c r="J5" s="1993"/>
      <c r="K5" s="2004" t="s">
        <v>1671</v>
      </c>
    </row>
    <row r="6" spans="2:11" x14ac:dyDescent="0.25">
      <c r="B6" s="1984"/>
      <c r="C6" s="1999" t="s">
        <v>1672</v>
      </c>
      <c r="D6" s="1984"/>
      <c r="E6" s="2000" t="s">
        <v>1673</v>
      </c>
      <c r="F6" s="2000" t="s">
        <v>1674</v>
      </c>
      <c r="G6" s="2000" t="s">
        <v>1675</v>
      </c>
      <c r="H6" s="1990"/>
      <c r="I6" s="1993"/>
      <c r="J6" s="1993"/>
      <c r="K6" s="1993"/>
    </row>
    <row r="7" spans="2:11" ht="60" customHeight="1" x14ac:dyDescent="0.25">
      <c r="B7" s="1985"/>
      <c r="C7" s="1982"/>
      <c r="D7" s="1985"/>
      <c r="E7" s="1985"/>
      <c r="F7" s="1985"/>
      <c r="G7" s="1985"/>
      <c r="H7" s="1991"/>
      <c r="I7" s="1994"/>
      <c r="J7" s="1994"/>
      <c r="K7" s="1994"/>
    </row>
    <row r="8" spans="2:11" ht="18" x14ac:dyDescent="0.2">
      <c r="B8" s="1088" t="s">
        <v>1676</v>
      </c>
      <c r="C8" s="1087" t="s">
        <v>1677</v>
      </c>
      <c r="D8" s="1088" t="s">
        <v>1678</v>
      </c>
      <c r="E8" s="1087" t="s">
        <v>1679</v>
      </c>
      <c r="F8" s="1088" t="s">
        <v>1680</v>
      </c>
      <c r="G8" s="1087" t="s">
        <v>1681</v>
      </c>
      <c r="H8" s="1089" t="s">
        <v>1682</v>
      </c>
      <c r="I8" s="1088" t="s">
        <v>1683</v>
      </c>
      <c r="J8" s="1088" t="s">
        <v>1684</v>
      </c>
      <c r="K8" s="1088" t="s">
        <v>1685</v>
      </c>
    </row>
    <row r="9" spans="2:11" ht="32.4" customHeight="1" x14ac:dyDescent="0.2">
      <c r="B9" s="1611"/>
      <c r="C9" s="1612"/>
      <c r="D9" s="1612"/>
      <c r="E9" s="1612"/>
      <c r="F9" s="1612"/>
      <c r="G9" s="1612"/>
      <c r="H9" s="1612"/>
      <c r="I9" s="1612"/>
      <c r="J9" s="1612"/>
      <c r="K9" s="1613"/>
    </row>
    <row r="11" spans="2:11" ht="18" x14ac:dyDescent="0.2">
      <c r="B11" s="108"/>
    </row>
  </sheetData>
  <mergeCells count="13">
    <mergeCell ref="B2:K2"/>
    <mergeCell ref="B4:B7"/>
    <mergeCell ref="G6:G7"/>
    <mergeCell ref="J4:J7"/>
    <mergeCell ref="E5:F5"/>
    <mergeCell ref="C4:C5"/>
    <mergeCell ref="D4:D7"/>
    <mergeCell ref="H4:H7"/>
    <mergeCell ref="I4:I7"/>
    <mergeCell ref="K5:K7"/>
    <mergeCell ref="C6:C7"/>
    <mergeCell ref="E6:E7"/>
    <mergeCell ref="F6:F7"/>
  </mergeCells>
  <printOptions horizontalCentered="1" verticalCentered="1"/>
  <pageMargins left="0.39370078740157483" right="0.39370078740157483" top="0.98425196850393704" bottom="0.98425196850393704" header="0.51181102362204722" footer="0.51181102362204722"/>
  <pageSetup paperSize="9" scale="46" orientation="landscape" r:id="rId1"/>
  <headerFooter>
    <oddHeader>&amp;CFR
ANNEXE I</oddHeader>
    <oddFooter>&amp;C&amp;P</oddFooter>
  </headerFooter>
  <ignoredErrors>
    <ignoredError sqref="B8:F8 H8:K8"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B1:I20"/>
  <sheetViews>
    <sheetView zoomScale="85" zoomScaleNormal="85" zoomScaleSheetLayoutView="90" workbookViewId="0">
      <selection activeCell="E22" activeCellId="1" sqref="D28 E22"/>
    </sheetView>
  </sheetViews>
  <sheetFormatPr defaultColWidth="11.44140625" defaultRowHeight="16.2" x14ac:dyDescent="0.3"/>
  <cols>
    <col min="1" max="1" width="1.88671875" style="194" customWidth="1"/>
    <col min="2" max="2" width="8.6640625" style="194" customWidth="1"/>
    <col min="3" max="3" width="2.109375" style="194" customWidth="1"/>
    <col min="4" max="4" width="13.5546875" style="194" customWidth="1"/>
    <col min="5" max="5" width="77" style="194" customWidth="1"/>
    <col min="6" max="7" width="30" style="194" customWidth="1"/>
    <col min="8" max="8" width="30" style="195" customWidth="1"/>
    <col min="9" max="9" width="30" style="194" customWidth="1"/>
    <col min="10" max="16384" width="11.44140625" style="194"/>
  </cols>
  <sheetData>
    <row r="1" spans="2:9" ht="8.25" customHeight="1" thickBot="1" x14ac:dyDescent="0.25"/>
    <row r="2" spans="2:9" s="196" customFormat="1" ht="23.25" customHeight="1" thickBot="1" x14ac:dyDescent="0.35">
      <c r="B2" s="2007" t="s">
        <v>1686</v>
      </c>
      <c r="C2" s="2008"/>
      <c r="D2" s="2008"/>
      <c r="E2" s="2008"/>
      <c r="F2" s="2008"/>
      <c r="G2" s="2008"/>
      <c r="H2" s="2008"/>
      <c r="I2" s="2009"/>
    </row>
    <row r="3" spans="2:9" s="196" customFormat="1" ht="9" customHeight="1" thickBot="1" x14ac:dyDescent="0.3"/>
    <row r="4" spans="2:9" ht="75" customHeight="1" x14ac:dyDescent="0.3">
      <c r="B4" s="1058"/>
      <c r="C4" s="1059"/>
      <c r="D4" s="1059"/>
      <c r="E4" s="1060"/>
      <c r="F4" s="1061" t="s">
        <v>1687</v>
      </c>
      <c r="G4" s="1061" t="s">
        <v>1688</v>
      </c>
      <c r="H4" s="1062" t="s">
        <v>1689</v>
      </c>
      <c r="I4" s="1063" t="s">
        <v>1690</v>
      </c>
    </row>
    <row r="5" spans="2:9" ht="15" x14ac:dyDescent="0.2">
      <c r="B5" s="1064"/>
      <c r="C5" s="1042"/>
      <c r="D5" s="1042"/>
      <c r="E5" s="1043"/>
      <c r="F5" s="1044" t="s">
        <v>1691</v>
      </c>
      <c r="G5" s="1045" t="s">
        <v>1692</v>
      </c>
      <c r="H5" s="1046" t="s">
        <v>1693</v>
      </c>
      <c r="I5" s="1065" t="s">
        <v>1694</v>
      </c>
    </row>
    <row r="6" spans="2:9" s="200" customFormat="1" ht="24.9" customHeight="1" x14ac:dyDescent="0.3">
      <c r="B6" s="1066" t="s">
        <v>1695</v>
      </c>
      <c r="C6" s="1047" t="s">
        <v>1696</v>
      </c>
      <c r="D6" s="199"/>
      <c r="E6" s="199"/>
      <c r="F6" s="1049"/>
      <c r="G6" s="1050"/>
      <c r="H6" s="1051"/>
      <c r="I6" s="1067" t="s">
        <v>1697</v>
      </c>
    </row>
    <row r="7" spans="2:9" s="200" customFormat="1" ht="24.9" customHeight="1" x14ac:dyDescent="0.3">
      <c r="B7" s="1066" t="s">
        <v>1698</v>
      </c>
      <c r="C7" s="198"/>
      <c r="D7" s="197" t="s">
        <v>1699</v>
      </c>
      <c r="E7" s="1048"/>
      <c r="F7" s="1052"/>
      <c r="G7" s="1053"/>
      <c r="H7" s="1054"/>
      <c r="I7" s="1068"/>
    </row>
    <row r="8" spans="2:9" s="200" customFormat="1" ht="24.9" customHeight="1" x14ac:dyDescent="0.3">
      <c r="B8" s="1066" t="s">
        <v>1700</v>
      </c>
      <c r="C8" s="198"/>
      <c r="D8" s="197" t="s">
        <v>1701</v>
      </c>
      <c r="E8" s="1048"/>
      <c r="F8" s="1052"/>
      <c r="G8" s="1053"/>
      <c r="H8" s="1054"/>
      <c r="I8" s="1068"/>
    </row>
    <row r="9" spans="2:9" s="200" customFormat="1" ht="24.9" customHeight="1" x14ac:dyDescent="0.3">
      <c r="B9" s="1066" t="s">
        <v>1702</v>
      </c>
      <c r="C9" s="198"/>
      <c r="D9" s="197" t="s">
        <v>1703</v>
      </c>
      <c r="E9" s="1048"/>
      <c r="F9" s="1052"/>
      <c r="G9" s="1053"/>
      <c r="H9" s="1054"/>
      <c r="I9" s="1068"/>
    </row>
    <row r="10" spans="2:9" s="200" customFormat="1" ht="24.9" customHeight="1" x14ac:dyDescent="0.3">
      <c r="B10" s="1066" t="s">
        <v>1704</v>
      </c>
      <c r="C10" s="198"/>
      <c r="D10" s="197" t="s">
        <v>1705</v>
      </c>
      <c r="E10" s="1048"/>
      <c r="F10" s="1052"/>
      <c r="G10" s="1053"/>
      <c r="H10" s="1054"/>
      <c r="I10" s="1068"/>
    </row>
    <row r="11" spans="2:9" s="200" customFormat="1" ht="24.9" customHeight="1" x14ac:dyDescent="0.3">
      <c r="B11" s="1066" t="s">
        <v>1706</v>
      </c>
      <c r="C11" s="198"/>
      <c r="D11" s="197" t="s">
        <v>1707</v>
      </c>
      <c r="E11" s="1048"/>
      <c r="F11" s="1055"/>
      <c r="G11" s="1056"/>
      <c r="H11" s="1057"/>
      <c r="I11" s="1069"/>
    </row>
    <row r="12" spans="2:9" s="200" customFormat="1" ht="24.9" customHeight="1" x14ac:dyDescent="0.3">
      <c r="B12" s="1066" t="s">
        <v>1708</v>
      </c>
      <c r="C12" s="1047" t="s">
        <v>1709</v>
      </c>
      <c r="D12" s="199"/>
      <c r="E12" s="199"/>
      <c r="F12" s="1049"/>
      <c r="G12" s="1050"/>
      <c r="H12" s="1051"/>
      <c r="I12" s="1067" t="s">
        <v>1710</v>
      </c>
    </row>
    <row r="13" spans="2:9" s="200" customFormat="1" ht="24.9" customHeight="1" x14ac:dyDescent="0.3">
      <c r="B13" s="1066" t="s">
        <v>1711</v>
      </c>
      <c r="C13" s="198"/>
      <c r="D13" s="197" t="s">
        <v>1712</v>
      </c>
      <c r="E13" s="1048"/>
      <c r="F13" s="1052"/>
      <c r="G13" s="1053"/>
      <c r="H13" s="1054"/>
      <c r="I13" s="1068"/>
    </row>
    <row r="14" spans="2:9" s="200" customFormat="1" ht="24.9" customHeight="1" x14ac:dyDescent="0.3">
      <c r="B14" s="1066" t="s">
        <v>1713</v>
      </c>
      <c r="C14" s="198"/>
      <c r="D14" s="197" t="s">
        <v>1714</v>
      </c>
      <c r="E14" s="1048"/>
      <c r="F14" s="1052"/>
      <c r="G14" s="1053"/>
      <c r="H14" s="1054"/>
      <c r="I14" s="1068"/>
    </row>
    <row r="15" spans="2:9" s="200" customFormat="1" ht="24.9" customHeight="1" x14ac:dyDescent="0.3">
      <c r="B15" s="1066" t="s">
        <v>1715</v>
      </c>
      <c r="C15" s="198"/>
      <c r="D15" s="197" t="s">
        <v>1716</v>
      </c>
      <c r="E15" s="1048"/>
      <c r="F15" s="1052"/>
      <c r="G15" s="1053"/>
      <c r="H15" s="1054"/>
      <c r="I15" s="1068"/>
    </row>
    <row r="16" spans="2:9" s="200" customFormat="1" ht="24.9" customHeight="1" x14ac:dyDescent="0.3">
      <c r="B16" s="1066" t="s">
        <v>1717</v>
      </c>
      <c r="C16" s="198"/>
      <c r="D16" s="197" t="s">
        <v>1718</v>
      </c>
      <c r="E16" s="1048"/>
      <c r="F16" s="1052"/>
      <c r="G16" s="1053"/>
      <c r="H16" s="1054"/>
      <c r="I16" s="1068"/>
    </row>
    <row r="17" spans="2:9" s="200" customFormat="1" ht="24.9" customHeight="1" thickBot="1" x14ac:dyDescent="0.35">
      <c r="B17" s="1070" t="s">
        <v>1719</v>
      </c>
      <c r="C17" s="1071"/>
      <c r="D17" s="1072" t="s">
        <v>1720</v>
      </c>
      <c r="E17" s="1073"/>
      <c r="F17" s="1074"/>
      <c r="G17" s="1075"/>
      <c r="H17" s="1076"/>
      <c r="I17" s="1077"/>
    </row>
    <row r="20" spans="2:9" ht="15" x14ac:dyDescent="0.2">
      <c r="G20" s="201"/>
    </row>
  </sheetData>
  <mergeCells count="1">
    <mergeCell ref="B2:I2"/>
  </mergeCells>
  <printOptions horizontalCentered="1" verticalCentered="1"/>
  <pageMargins left="0.43307086614173229" right="0.70866141732283472" top="0.78740157480314965" bottom="0.78740157480314965" header="0.31496062992125984" footer="0.31496062992125984"/>
  <pageSetup paperSize="9" scale="65" orientation="landscape" r:id="rId1"/>
  <headerFooter>
    <oddHeader>&amp;CFR
ANNEXE I</oddHeader>
    <oddFooter>&amp;C&amp;P</oddFooter>
  </headerFooter>
  <ignoredErrors>
    <ignoredError sqref="F5:I5 B6:B17"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Q41"/>
  <sheetViews>
    <sheetView showGridLines="0" zoomScale="10" zoomScaleNormal="10" zoomScaleSheetLayoutView="10" zoomScalePageLayoutView="40" workbookViewId="0">
      <selection activeCell="W38" sqref="W38"/>
    </sheetView>
  </sheetViews>
  <sheetFormatPr defaultColWidth="11.44140625" defaultRowHeight="13.8" x14ac:dyDescent="0.25"/>
  <cols>
    <col min="1" max="1" width="5" style="945" customWidth="1"/>
    <col min="2" max="2" width="16.44140625" style="945" customWidth="1"/>
    <col min="3" max="3" width="112" style="947" customWidth="1"/>
    <col min="4" max="4" width="35.33203125" style="947" customWidth="1"/>
    <col min="5" max="5" width="29.109375" style="947" customWidth="1"/>
    <col min="6" max="6" width="30.33203125" style="947" customWidth="1"/>
    <col min="7" max="7" width="34.109375" style="947" customWidth="1"/>
    <col min="8" max="8" width="32.88671875" style="947" customWidth="1"/>
    <col min="9" max="9" width="32" style="947" customWidth="1"/>
    <col min="10" max="10" width="34.44140625" style="947" customWidth="1"/>
    <col min="11" max="11" width="30.33203125" style="947" customWidth="1"/>
    <col min="12" max="12" width="28.88671875" style="947" customWidth="1"/>
    <col min="13" max="13" width="26" style="947" customWidth="1"/>
    <col min="14" max="14" width="21.6640625" style="947" customWidth="1"/>
    <col min="15" max="15" width="31.5546875" style="947" customWidth="1"/>
    <col min="16" max="16" width="34.6640625" style="947" customWidth="1"/>
    <col min="17" max="17" width="24.6640625" style="947" customWidth="1"/>
    <col min="18" max="21" width="28.6640625" style="947" customWidth="1"/>
    <col min="22" max="22" width="28" style="947" customWidth="1"/>
    <col min="23" max="23" width="25.33203125" style="947" customWidth="1"/>
    <col min="24" max="24" width="32.44140625" style="947" customWidth="1"/>
    <col min="25" max="28" width="15.5546875" style="947" customWidth="1"/>
    <col min="29" max="29" width="16.6640625" style="947" customWidth="1"/>
    <col min="30" max="30" width="22.44140625" style="947" customWidth="1"/>
    <col min="31" max="31" width="11.44140625" style="947"/>
    <col min="32" max="32" width="24.44140625" style="947" customWidth="1"/>
    <col min="33" max="35" width="21.6640625" style="947" customWidth="1"/>
    <col min="36" max="36" width="23.5546875" style="947" customWidth="1"/>
    <col min="37" max="37" width="39.6640625" style="947" customWidth="1"/>
    <col min="38" max="38" width="38.6640625" style="947" customWidth="1"/>
    <col min="39" max="40" width="40.33203125" style="947" customWidth="1"/>
    <col min="41" max="41" width="34.5546875" style="947" customWidth="1"/>
    <col min="42" max="42" width="39" style="947" customWidth="1"/>
    <col min="43" max="43" width="11.44140625" style="946"/>
    <col min="44" max="16384" width="11.44140625" style="945"/>
  </cols>
  <sheetData>
    <row r="1" spans="1:42" ht="157.94999999999999" customHeight="1" thickBot="1" x14ac:dyDescent="0.25"/>
    <row r="2" spans="1:42" ht="91.5" customHeight="1" thickBot="1" x14ac:dyDescent="0.3">
      <c r="D2" s="2010" t="s">
        <v>1721</v>
      </c>
      <c r="E2" s="2011"/>
      <c r="F2" s="2011"/>
      <c r="G2" s="2011"/>
      <c r="H2" s="2011"/>
      <c r="I2" s="2011"/>
      <c r="J2" s="2011"/>
      <c r="K2" s="2011"/>
      <c r="L2" s="2011"/>
      <c r="M2" s="2011"/>
      <c r="N2" s="2011"/>
      <c r="O2" s="2011"/>
      <c r="P2" s="2010" t="s">
        <v>1722</v>
      </c>
      <c r="Q2" s="2011"/>
      <c r="R2" s="2011"/>
      <c r="S2" s="2011"/>
      <c r="T2" s="2011"/>
      <c r="U2" s="2011"/>
      <c r="V2" s="2011"/>
      <c r="W2" s="2011"/>
      <c r="X2" s="2011"/>
      <c r="Y2" s="2011"/>
      <c r="Z2" s="2011"/>
      <c r="AA2" s="2011"/>
      <c r="AB2" s="2011"/>
      <c r="AC2" s="2011"/>
      <c r="AD2" s="2011"/>
      <c r="AE2" s="2011"/>
      <c r="AF2" s="2011" t="s">
        <v>1723</v>
      </c>
      <c r="AG2" s="2011"/>
      <c r="AH2" s="2011"/>
      <c r="AI2" s="2011"/>
      <c r="AJ2" s="2011"/>
      <c r="AK2" s="2011"/>
      <c r="AL2" s="2011"/>
      <c r="AM2" s="2011"/>
      <c r="AN2" s="2011"/>
      <c r="AO2" s="2011"/>
      <c r="AP2" s="2012"/>
    </row>
    <row r="3" spans="1:42" ht="23.25" customHeight="1" thickBot="1" x14ac:dyDescent="0.25">
      <c r="C3" s="202"/>
      <c r="D3" s="535"/>
      <c r="E3" s="535"/>
      <c r="F3" s="535"/>
      <c r="G3" s="535"/>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4"/>
      <c r="AK3" s="204"/>
      <c r="AL3" s="204"/>
      <c r="AM3" s="205"/>
      <c r="AN3" s="205"/>
      <c r="AO3" s="205"/>
      <c r="AP3" s="946"/>
    </row>
    <row r="4" spans="1:42" ht="126" customHeight="1" x14ac:dyDescent="0.25">
      <c r="B4" s="2056"/>
      <c r="C4" s="2057"/>
      <c r="D4" s="2026" t="s">
        <v>1724</v>
      </c>
      <c r="E4" s="2029" t="s">
        <v>1725</v>
      </c>
      <c r="F4" s="2030"/>
      <c r="G4" s="2031"/>
      <c r="H4" s="953" t="s">
        <v>1726</v>
      </c>
      <c r="I4" s="2032" t="s">
        <v>1727</v>
      </c>
      <c r="J4" s="2032" t="s">
        <v>1728</v>
      </c>
      <c r="K4" s="2014" t="s">
        <v>1729</v>
      </c>
      <c r="L4" s="2014"/>
      <c r="M4" s="2014"/>
      <c r="N4" s="2015"/>
      <c r="O4" s="2032" t="s">
        <v>1730</v>
      </c>
      <c r="P4" s="2032" t="s">
        <v>1731</v>
      </c>
      <c r="Q4" s="2032" t="s">
        <v>1732</v>
      </c>
      <c r="R4" s="2020" t="s">
        <v>1733</v>
      </c>
      <c r="S4" s="2035"/>
      <c r="T4" s="2035"/>
      <c r="U4" s="2036"/>
      <c r="V4" s="2020" t="s">
        <v>1734</v>
      </c>
      <c r="W4" s="954"/>
      <c r="X4" s="955"/>
      <c r="Y4" s="2013" t="s">
        <v>1735</v>
      </c>
      <c r="Z4" s="2014"/>
      <c r="AA4" s="2014"/>
      <c r="AB4" s="2014"/>
      <c r="AC4" s="2014"/>
      <c r="AD4" s="2014"/>
      <c r="AE4" s="2015"/>
      <c r="AF4" s="2013" t="s">
        <v>1736</v>
      </c>
      <c r="AG4" s="2014"/>
      <c r="AH4" s="2014"/>
      <c r="AI4" s="2015"/>
      <c r="AJ4" s="2046" t="s">
        <v>1737</v>
      </c>
      <c r="AK4" s="2047"/>
      <c r="AL4" s="2032" t="s">
        <v>1738</v>
      </c>
      <c r="AM4" s="2032" t="s">
        <v>1739</v>
      </c>
      <c r="AN4" s="2016" t="s">
        <v>1740</v>
      </c>
      <c r="AO4" s="2016"/>
      <c r="AP4" s="2018" t="s">
        <v>1741</v>
      </c>
    </row>
    <row r="5" spans="1:42" ht="119.25" customHeight="1" x14ac:dyDescent="0.25">
      <c r="B5" s="2058"/>
      <c r="C5" s="2059"/>
      <c r="D5" s="2027"/>
      <c r="E5" s="2033" t="s">
        <v>1742</v>
      </c>
      <c r="F5" s="956" t="s">
        <v>1743</v>
      </c>
      <c r="G5" s="2050" t="s">
        <v>1744</v>
      </c>
      <c r="H5" s="2044" t="s">
        <v>1745</v>
      </c>
      <c r="I5" s="2021"/>
      <c r="J5" s="2021"/>
      <c r="K5" s="2037" t="s">
        <v>1746</v>
      </c>
      <c r="L5" s="2044" t="s">
        <v>1747</v>
      </c>
      <c r="M5" s="2051" t="s">
        <v>1748</v>
      </c>
      <c r="N5" s="2052"/>
      <c r="O5" s="2021"/>
      <c r="P5" s="2021"/>
      <c r="Q5" s="2021"/>
      <c r="R5" s="2022">
        <v>0</v>
      </c>
      <c r="S5" s="2044" t="s">
        <v>1749</v>
      </c>
      <c r="T5" s="2044" t="s">
        <v>1750</v>
      </c>
      <c r="U5" s="2044" t="s">
        <v>1751</v>
      </c>
      <c r="V5" s="2021"/>
      <c r="W5" s="2044" t="s">
        <v>1752</v>
      </c>
      <c r="X5" s="2044" t="s">
        <v>1753</v>
      </c>
      <c r="Y5" s="2053" t="s">
        <v>1754</v>
      </c>
      <c r="Z5" s="2054"/>
      <c r="AA5" s="2054"/>
      <c r="AB5" s="2054"/>
      <c r="AC5" s="2055"/>
      <c r="AD5" s="957">
        <v>12.5</v>
      </c>
      <c r="AE5" s="2039" t="s">
        <v>1755</v>
      </c>
      <c r="AF5" s="2040"/>
      <c r="AG5" s="2041"/>
      <c r="AH5" s="2024" t="s">
        <v>1756</v>
      </c>
      <c r="AI5" s="2025"/>
      <c r="AJ5" s="2048"/>
      <c r="AK5" s="2049"/>
      <c r="AL5" s="2021"/>
      <c r="AM5" s="2021"/>
      <c r="AN5" s="2017"/>
      <c r="AO5" s="2017"/>
      <c r="AP5" s="2019"/>
    </row>
    <row r="6" spans="1:42" ht="178.5" customHeight="1" x14ac:dyDescent="0.25">
      <c r="B6" s="2058"/>
      <c r="C6" s="2059"/>
      <c r="D6" s="2028"/>
      <c r="E6" s="2034"/>
      <c r="F6" s="1527" t="s">
        <v>1757</v>
      </c>
      <c r="G6" s="2028"/>
      <c r="H6" s="2045"/>
      <c r="I6" s="2021"/>
      <c r="J6" s="2021"/>
      <c r="K6" s="2038"/>
      <c r="L6" s="2021"/>
      <c r="M6" s="958" t="s">
        <v>1758</v>
      </c>
      <c r="N6" s="958" t="s">
        <v>1759</v>
      </c>
      <c r="O6" s="2021"/>
      <c r="P6" s="2021"/>
      <c r="Q6" s="2021"/>
      <c r="R6" s="2023"/>
      <c r="S6" s="2021"/>
      <c r="T6" s="2021"/>
      <c r="U6" s="2021"/>
      <c r="V6" s="2021"/>
      <c r="W6" s="2045"/>
      <c r="X6" s="2045"/>
      <c r="Y6" s="959" t="s">
        <v>1760</v>
      </c>
      <c r="Z6" s="959" t="s">
        <v>1761</v>
      </c>
      <c r="AA6" s="959" t="s">
        <v>1762</v>
      </c>
      <c r="AB6" s="959" t="s">
        <v>1763</v>
      </c>
      <c r="AC6" s="959" t="s">
        <v>1764</v>
      </c>
      <c r="AD6" s="960" t="s">
        <v>1765</v>
      </c>
      <c r="AE6" s="961"/>
      <c r="AF6" s="962" t="s">
        <v>1766</v>
      </c>
      <c r="AG6" s="963" t="s">
        <v>1767</v>
      </c>
      <c r="AH6" s="964"/>
      <c r="AI6" s="965" t="s">
        <v>1768</v>
      </c>
      <c r="AJ6" s="966"/>
      <c r="AK6" s="967" t="s">
        <v>1769</v>
      </c>
      <c r="AL6" s="2021"/>
      <c r="AM6" s="2045"/>
      <c r="AN6" s="965" t="s">
        <v>1770</v>
      </c>
      <c r="AO6" s="965" t="s">
        <v>1771</v>
      </c>
      <c r="AP6" s="2019"/>
    </row>
    <row r="7" spans="1:42" ht="53.25" customHeight="1" x14ac:dyDescent="0.25">
      <c r="B7" s="2060"/>
      <c r="C7" s="2061"/>
      <c r="D7" s="968" t="s">
        <v>1772</v>
      </c>
      <c r="E7" s="968" t="s">
        <v>1773</v>
      </c>
      <c r="F7" s="968" t="s">
        <v>1774</v>
      </c>
      <c r="G7" s="968" t="s">
        <v>1775</v>
      </c>
      <c r="H7" s="968" t="s">
        <v>1776</v>
      </c>
      <c r="I7" s="968" t="s">
        <v>1777</v>
      </c>
      <c r="J7" s="968" t="s">
        <v>1778</v>
      </c>
      <c r="K7" s="969" t="s">
        <v>1779</v>
      </c>
      <c r="L7" s="968" t="s">
        <v>1780</v>
      </c>
      <c r="M7" s="970" t="s">
        <v>1781</v>
      </c>
      <c r="N7" s="968" t="s">
        <v>1782</v>
      </c>
      <c r="O7" s="968" t="s">
        <v>1783</v>
      </c>
      <c r="P7" s="968" t="s">
        <v>1784</v>
      </c>
      <c r="Q7" s="968" t="s">
        <v>1785</v>
      </c>
      <c r="R7" s="968" t="s">
        <v>1786</v>
      </c>
      <c r="S7" s="968" t="s">
        <v>1787</v>
      </c>
      <c r="T7" s="968" t="s">
        <v>1788</v>
      </c>
      <c r="U7" s="968" t="s">
        <v>1789</v>
      </c>
      <c r="V7" s="968" t="s">
        <v>1790</v>
      </c>
      <c r="W7" s="968" t="s">
        <v>1791</v>
      </c>
      <c r="X7" s="968" t="s">
        <v>1792</v>
      </c>
      <c r="Y7" s="970" t="s">
        <v>1793</v>
      </c>
      <c r="Z7" s="970" t="s">
        <v>1794</v>
      </c>
      <c r="AA7" s="970" t="s">
        <v>1795</v>
      </c>
      <c r="AB7" s="970" t="s">
        <v>1796</v>
      </c>
      <c r="AC7" s="970" t="s">
        <v>1797</v>
      </c>
      <c r="AD7" s="970" t="s">
        <v>1798</v>
      </c>
      <c r="AE7" s="970" t="s">
        <v>1799</v>
      </c>
      <c r="AF7" s="970" t="s">
        <v>1800</v>
      </c>
      <c r="AG7" s="970" t="s">
        <v>1801</v>
      </c>
      <c r="AH7" s="971" t="s">
        <v>1802</v>
      </c>
      <c r="AI7" s="971" t="s">
        <v>1803</v>
      </c>
      <c r="AJ7" s="842" t="s">
        <v>1804</v>
      </c>
      <c r="AK7" s="841" t="s">
        <v>1805</v>
      </c>
      <c r="AL7" s="843" t="s">
        <v>1806</v>
      </c>
      <c r="AM7" s="843" t="s">
        <v>1807</v>
      </c>
      <c r="AN7" s="843" t="s">
        <v>1808</v>
      </c>
      <c r="AO7" s="843" t="s">
        <v>1809</v>
      </c>
      <c r="AP7" s="972" t="s">
        <v>1810</v>
      </c>
    </row>
    <row r="8" spans="1:42" ht="50.1" customHeight="1" x14ac:dyDescent="0.25">
      <c r="A8" s="206"/>
      <c r="B8" s="929" t="s">
        <v>1811</v>
      </c>
      <c r="C8" s="948" t="s">
        <v>1812</v>
      </c>
      <c r="D8" s="973"/>
      <c r="E8" s="974"/>
      <c r="F8" s="974"/>
      <c r="G8" s="974"/>
      <c r="H8" s="974"/>
      <c r="I8" s="974"/>
      <c r="J8" s="974"/>
      <c r="K8" s="974"/>
      <c r="L8" s="974"/>
      <c r="M8" s="974"/>
      <c r="N8" s="974"/>
      <c r="O8" s="974"/>
      <c r="P8" s="974"/>
      <c r="Q8" s="974"/>
      <c r="R8" s="974"/>
      <c r="S8" s="974"/>
      <c r="T8" s="974"/>
      <c r="U8" s="974"/>
      <c r="V8" s="974"/>
      <c r="W8" s="974"/>
      <c r="X8" s="974"/>
      <c r="Y8" s="974"/>
      <c r="Z8" s="974"/>
      <c r="AA8" s="974"/>
      <c r="AB8" s="974"/>
      <c r="AC8" s="974"/>
      <c r="AD8" s="974"/>
      <c r="AE8" s="974"/>
      <c r="AF8" s="974"/>
      <c r="AG8" s="974"/>
      <c r="AH8" s="974"/>
      <c r="AI8" s="974"/>
      <c r="AJ8" s="975"/>
      <c r="AK8" s="976"/>
      <c r="AL8" s="977"/>
      <c r="AM8" s="978"/>
      <c r="AN8" s="978"/>
      <c r="AO8" s="892" t="s">
        <v>1813</v>
      </c>
      <c r="AP8" s="979"/>
    </row>
    <row r="9" spans="1:42" ht="50.1" customHeight="1" x14ac:dyDescent="0.25">
      <c r="A9" s="206"/>
      <c r="B9" s="930" t="s">
        <v>1814</v>
      </c>
      <c r="C9" s="845" t="s">
        <v>1815</v>
      </c>
      <c r="D9" s="980"/>
      <c r="E9" s="920"/>
      <c r="F9" s="920"/>
      <c r="G9" s="920"/>
      <c r="H9" s="920"/>
      <c r="I9" s="920"/>
      <c r="J9" s="920"/>
      <c r="K9" s="920"/>
      <c r="L9" s="920"/>
      <c r="M9" s="920"/>
      <c r="N9" s="920"/>
      <c r="O9" s="920"/>
      <c r="P9" s="920"/>
      <c r="Q9" s="920"/>
      <c r="R9" s="920"/>
      <c r="S9" s="920"/>
      <c r="T9" s="920"/>
      <c r="U9" s="920"/>
      <c r="V9" s="920"/>
      <c r="W9" s="920"/>
      <c r="X9" s="920"/>
      <c r="Y9" s="920"/>
      <c r="Z9" s="920"/>
      <c r="AA9" s="920"/>
      <c r="AB9" s="920"/>
      <c r="AC9" s="920"/>
      <c r="AD9" s="920"/>
      <c r="AE9" s="920"/>
      <c r="AF9" s="920"/>
      <c r="AG9" s="920"/>
      <c r="AH9" s="920"/>
      <c r="AI9" s="920"/>
      <c r="AJ9" s="981"/>
      <c r="AK9" s="982"/>
      <c r="AL9" s="983"/>
      <c r="AM9" s="984"/>
      <c r="AN9" s="984"/>
      <c r="AO9" s="985" t="s">
        <v>1816</v>
      </c>
      <c r="AP9" s="986"/>
    </row>
    <row r="10" spans="1:42" ht="50.1" customHeight="1" x14ac:dyDescent="0.2">
      <c r="A10" s="206"/>
      <c r="B10" s="930" t="s">
        <v>1817</v>
      </c>
      <c r="C10" s="949" t="s">
        <v>1818</v>
      </c>
      <c r="D10" s="987"/>
      <c r="E10" s="988"/>
      <c r="F10" s="988"/>
      <c r="G10" s="989"/>
      <c r="H10" s="990"/>
      <c r="I10" s="988"/>
      <c r="J10" s="988"/>
      <c r="K10" s="988"/>
      <c r="L10" s="988"/>
      <c r="M10" s="988"/>
      <c r="N10" s="988"/>
      <c r="O10" s="988"/>
      <c r="P10" s="988"/>
      <c r="Q10" s="988"/>
      <c r="R10" s="988"/>
      <c r="S10" s="988"/>
      <c r="T10" s="988"/>
      <c r="U10" s="988"/>
      <c r="V10" s="974"/>
      <c r="W10" s="991"/>
      <c r="X10" s="991"/>
      <c r="Y10" s="992"/>
      <c r="Z10" s="992"/>
      <c r="AA10" s="992"/>
      <c r="AB10" s="992"/>
      <c r="AC10" s="991"/>
      <c r="AD10" s="991"/>
      <c r="AE10" s="991"/>
      <c r="AF10" s="991"/>
      <c r="AG10" s="991"/>
      <c r="AH10" s="991"/>
      <c r="AI10" s="991"/>
      <c r="AJ10" s="993"/>
      <c r="AK10" s="993"/>
      <c r="AL10" s="977"/>
      <c r="AM10" s="994"/>
      <c r="AN10" s="994"/>
      <c r="AO10" s="995"/>
      <c r="AP10" s="996"/>
    </row>
    <row r="11" spans="1:42" ht="50.1" customHeight="1" x14ac:dyDescent="0.25">
      <c r="A11" s="206"/>
      <c r="B11" s="930" t="s">
        <v>1819</v>
      </c>
      <c r="C11" s="950" t="s">
        <v>1820</v>
      </c>
      <c r="D11" s="901"/>
      <c r="E11" s="902"/>
      <c r="F11" s="902"/>
      <c r="G11" s="902"/>
      <c r="H11" s="997"/>
      <c r="I11" s="902"/>
      <c r="J11" s="902"/>
      <c r="K11" s="902"/>
      <c r="L11" s="902"/>
      <c r="M11" s="902"/>
      <c r="N11" s="902"/>
      <c r="O11" s="902"/>
      <c r="P11" s="902"/>
      <c r="Q11" s="902"/>
      <c r="R11" s="909"/>
      <c r="S11" s="909"/>
      <c r="T11" s="909"/>
      <c r="U11" s="909"/>
      <c r="V11" s="905"/>
      <c r="W11" s="904"/>
      <c r="X11" s="904"/>
      <c r="Y11" s="998"/>
      <c r="Z11" s="998"/>
      <c r="AA11" s="998"/>
      <c r="AB11" s="998"/>
      <c r="AC11" s="904"/>
      <c r="AD11" s="904"/>
      <c r="AE11" s="905"/>
      <c r="AF11" s="905"/>
      <c r="AG11" s="905"/>
      <c r="AH11" s="905"/>
      <c r="AI11" s="905"/>
      <c r="AJ11" s="999"/>
      <c r="AK11" s="999"/>
      <c r="AL11" s="1000"/>
      <c r="AM11" s="1001"/>
      <c r="AN11" s="1001"/>
      <c r="AO11" s="1002"/>
      <c r="AP11" s="1003"/>
    </row>
    <row r="12" spans="1:42" ht="50.1" customHeight="1" x14ac:dyDescent="0.2">
      <c r="A12" s="206"/>
      <c r="B12" s="931" t="s">
        <v>1821</v>
      </c>
      <c r="C12" s="845" t="s">
        <v>1822</v>
      </c>
      <c r="D12" s="901"/>
      <c r="E12" s="902"/>
      <c r="F12" s="902"/>
      <c r="G12" s="902"/>
      <c r="H12" s="997"/>
      <c r="I12" s="902"/>
      <c r="J12" s="902"/>
      <c r="K12" s="902"/>
      <c r="L12" s="902"/>
      <c r="M12" s="902"/>
      <c r="N12" s="902"/>
      <c r="O12" s="902"/>
      <c r="P12" s="902"/>
      <c r="Q12" s="1004"/>
      <c r="R12" s="909"/>
      <c r="S12" s="909"/>
      <c r="T12" s="909"/>
      <c r="U12" s="909"/>
      <c r="V12" s="905"/>
      <c r="W12" s="904"/>
      <c r="X12" s="904"/>
      <c r="Y12" s="998"/>
      <c r="Z12" s="998"/>
      <c r="AA12" s="998"/>
      <c r="AB12" s="998"/>
      <c r="AC12" s="904"/>
      <c r="AD12" s="904"/>
      <c r="AE12" s="905"/>
      <c r="AF12" s="905"/>
      <c r="AG12" s="905"/>
      <c r="AH12" s="905"/>
      <c r="AI12" s="905"/>
      <c r="AJ12" s="999"/>
      <c r="AK12" s="999"/>
      <c r="AL12" s="1000"/>
      <c r="AM12" s="1001"/>
      <c r="AN12" s="1001"/>
      <c r="AO12" s="1002"/>
      <c r="AP12" s="1005"/>
    </row>
    <row r="13" spans="1:42" ht="50.1" customHeight="1" x14ac:dyDescent="0.2">
      <c r="A13" s="206"/>
      <c r="B13" s="931" t="s">
        <v>1823</v>
      </c>
      <c r="C13" s="845" t="s">
        <v>1824</v>
      </c>
      <c r="D13" s="901"/>
      <c r="E13" s="902"/>
      <c r="F13" s="902"/>
      <c r="G13" s="902"/>
      <c r="H13" s="997"/>
      <c r="I13" s="902"/>
      <c r="J13" s="902"/>
      <c r="K13" s="902"/>
      <c r="L13" s="902"/>
      <c r="M13" s="902"/>
      <c r="N13" s="902"/>
      <c r="O13" s="902"/>
      <c r="P13" s="902"/>
      <c r="Q13" s="1004"/>
      <c r="R13" s="909"/>
      <c r="S13" s="909"/>
      <c r="T13" s="909"/>
      <c r="U13" s="909"/>
      <c r="V13" s="905"/>
      <c r="W13" s="904"/>
      <c r="X13" s="904"/>
      <c r="Y13" s="998"/>
      <c r="Z13" s="998"/>
      <c r="AA13" s="998"/>
      <c r="AB13" s="998"/>
      <c r="AC13" s="904"/>
      <c r="AD13" s="904"/>
      <c r="AE13" s="905"/>
      <c r="AF13" s="905"/>
      <c r="AG13" s="905"/>
      <c r="AH13" s="905"/>
      <c r="AI13" s="905"/>
      <c r="AJ13" s="999"/>
      <c r="AK13" s="999"/>
      <c r="AL13" s="1000"/>
      <c r="AM13" s="1001"/>
      <c r="AN13" s="1001"/>
      <c r="AO13" s="1002"/>
      <c r="AP13" s="1005"/>
    </row>
    <row r="14" spans="1:42" ht="50.1" customHeight="1" x14ac:dyDescent="0.25">
      <c r="A14" s="206"/>
      <c r="B14" s="930" t="s">
        <v>1825</v>
      </c>
      <c r="C14" s="950" t="s">
        <v>1826</v>
      </c>
      <c r="D14" s="901"/>
      <c r="E14" s="902"/>
      <c r="F14" s="902"/>
      <c r="G14" s="902"/>
      <c r="H14" s="997"/>
      <c r="I14" s="902"/>
      <c r="J14" s="902"/>
      <c r="K14" s="902"/>
      <c r="L14" s="902"/>
      <c r="M14" s="902"/>
      <c r="N14" s="902"/>
      <c r="O14" s="902"/>
      <c r="P14" s="902"/>
      <c r="Q14" s="902"/>
      <c r="R14" s="902"/>
      <c r="S14" s="902"/>
      <c r="T14" s="902"/>
      <c r="U14" s="902"/>
      <c r="V14" s="905"/>
      <c r="W14" s="904"/>
      <c r="X14" s="904"/>
      <c r="Y14" s="905"/>
      <c r="Z14" s="905"/>
      <c r="AA14" s="905"/>
      <c r="AB14" s="905"/>
      <c r="AC14" s="904"/>
      <c r="AD14" s="904"/>
      <c r="AE14" s="905"/>
      <c r="AF14" s="905"/>
      <c r="AG14" s="905"/>
      <c r="AH14" s="905"/>
      <c r="AI14" s="905"/>
      <c r="AJ14" s="999"/>
      <c r="AK14" s="999"/>
      <c r="AL14" s="1000"/>
      <c r="AM14" s="1001"/>
      <c r="AN14" s="1001"/>
      <c r="AO14" s="1002"/>
      <c r="AP14" s="1003"/>
    </row>
    <row r="15" spans="1:42" ht="50.1" customHeight="1" x14ac:dyDescent="0.2">
      <c r="A15" s="206"/>
      <c r="B15" s="931" t="s">
        <v>1827</v>
      </c>
      <c r="C15" s="845" t="s">
        <v>1828</v>
      </c>
      <c r="D15" s="901"/>
      <c r="E15" s="902"/>
      <c r="F15" s="902"/>
      <c r="G15" s="902"/>
      <c r="H15" s="997"/>
      <c r="I15" s="902"/>
      <c r="J15" s="902"/>
      <c r="K15" s="902"/>
      <c r="L15" s="902"/>
      <c r="M15" s="902"/>
      <c r="N15" s="902"/>
      <c r="O15" s="902"/>
      <c r="P15" s="902"/>
      <c r="Q15" s="1004"/>
      <c r="R15" s="902"/>
      <c r="S15" s="902"/>
      <c r="T15" s="902"/>
      <c r="U15" s="902"/>
      <c r="V15" s="905"/>
      <c r="W15" s="904"/>
      <c r="X15" s="904"/>
      <c r="Y15" s="998"/>
      <c r="Z15" s="998"/>
      <c r="AA15" s="998"/>
      <c r="AB15" s="998"/>
      <c r="AC15" s="904"/>
      <c r="AD15" s="904"/>
      <c r="AE15" s="905"/>
      <c r="AF15" s="905"/>
      <c r="AG15" s="905"/>
      <c r="AH15" s="905"/>
      <c r="AI15" s="905"/>
      <c r="AJ15" s="999"/>
      <c r="AK15" s="999"/>
      <c r="AL15" s="1000"/>
      <c r="AM15" s="1001"/>
      <c r="AN15" s="1001"/>
      <c r="AO15" s="1002"/>
      <c r="AP15" s="1005"/>
    </row>
    <row r="16" spans="1:42" ht="50.1" customHeight="1" x14ac:dyDescent="0.2">
      <c r="A16" s="206"/>
      <c r="B16" s="931" t="s">
        <v>1829</v>
      </c>
      <c r="C16" s="845" t="s">
        <v>1830</v>
      </c>
      <c r="D16" s="901"/>
      <c r="E16" s="902"/>
      <c r="F16" s="902"/>
      <c r="G16" s="902"/>
      <c r="H16" s="997"/>
      <c r="I16" s="902"/>
      <c r="J16" s="902"/>
      <c r="K16" s="902"/>
      <c r="L16" s="902"/>
      <c r="M16" s="902"/>
      <c r="N16" s="902"/>
      <c r="O16" s="902"/>
      <c r="P16" s="902"/>
      <c r="Q16" s="1004"/>
      <c r="R16" s="902"/>
      <c r="S16" s="902"/>
      <c r="T16" s="902"/>
      <c r="U16" s="902"/>
      <c r="V16" s="905"/>
      <c r="W16" s="904"/>
      <c r="X16" s="904"/>
      <c r="Y16" s="998"/>
      <c r="Z16" s="998"/>
      <c r="AA16" s="998"/>
      <c r="AB16" s="998"/>
      <c r="AC16" s="904"/>
      <c r="AD16" s="904"/>
      <c r="AE16" s="905"/>
      <c r="AF16" s="905"/>
      <c r="AG16" s="905"/>
      <c r="AH16" s="905"/>
      <c r="AI16" s="905"/>
      <c r="AJ16" s="999"/>
      <c r="AK16" s="999"/>
      <c r="AL16" s="1000"/>
      <c r="AM16" s="1001"/>
      <c r="AN16" s="1001"/>
      <c r="AO16" s="1002"/>
      <c r="AP16" s="1005"/>
    </row>
    <row r="17" spans="1:42" ht="50.1" customHeight="1" x14ac:dyDescent="0.25">
      <c r="A17" s="206"/>
      <c r="B17" s="930" t="s">
        <v>1831</v>
      </c>
      <c r="C17" s="950" t="s">
        <v>1832</v>
      </c>
      <c r="D17" s="1006"/>
      <c r="E17" s="1007"/>
      <c r="F17" s="1007"/>
      <c r="G17" s="1007"/>
      <c r="H17" s="1008"/>
      <c r="I17" s="919"/>
      <c r="J17" s="919"/>
      <c r="K17" s="919"/>
      <c r="L17" s="919"/>
      <c r="M17" s="919"/>
      <c r="N17" s="919"/>
      <c r="O17" s="919"/>
      <c r="P17" s="919"/>
      <c r="Q17" s="919"/>
      <c r="R17" s="919"/>
      <c r="S17" s="919"/>
      <c r="T17" s="919"/>
      <c r="U17" s="919"/>
      <c r="V17" s="920"/>
      <c r="W17" s="917"/>
      <c r="X17" s="918"/>
      <c r="Y17" s="1009"/>
      <c r="Z17" s="917"/>
      <c r="AA17" s="917"/>
      <c r="AB17" s="917"/>
      <c r="AC17" s="917"/>
      <c r="AD17" s="917"/>
      <c r="AE17" s="920"/>
      <c r="AF17" s="917"/>
      <c r="AG17" s="917"/>
      <c r="AH17" s="917"/>
      <c r="AI17" s="917"/>
      <c r="AJ17" s="1010"/>
      <c r="AK17" s="1010"/>
      <c r="AL17" s="983"/>
      <c r="AM17" s="1011"/>
      <c r="AN17" s="1011"/>
      <c r="AO17" s="1012"/>
      <c r="AP17" s="1013"/>
    </row>
    <row r="18" spans="1:42" ht="50.1" customHeight="1" x14ac:dyDescent="0.2">
      <c r="A18" s="206"/>
      <c r="B18" s="930" t="s">
        <v>1833</v>
      </c>
      <c r="C18" s="949" t="s">
        <v>1834</v>
      </c>
      <c r="D18" s="1014"/>
      <c r="E18" s="1015"/>
      <c r="F18" s="1015"/>
      <c r="G18" s="1015"/>
      <c r="H18" s="990"/>
      <c r="I18" s="990"/>
      <c r="J18" s="990"/>
      <c r="K18" s="975"/>
      <c r="L18" s="975"/>
      <c r="M18" s="975"/>
      <c r="N18" s="975"/>
      <c r="O18" s="975"/>
      <c r="P18" s="975"/>
      <c r="Q18" s="990"/>
      <c r="R18" s="990"/>
      <c r="S18" s="990"/>
      <c r="T18" s="990"/>
      <c r="U18" s="990"/>
      <c r="V18" s="974"/>
      <c r="W18" s="991"/>
      <c r="X18" s="991"/>
      <c r="Y18" s="974"/>
      <c r="Z18" s="974"/>
      <c r="AA18" s="974"/>
      <c r="AB18" s="974"/>
      <c r="AC18" s="991"/>
      <c r="AD18" s="991"/>
      <c r="AE18" s="974"/>
      <c r="AF18" s="974"/>
      <c r="AG18" s="974"/>
      <c r="AH18" s="974"/>
      <c r="AI18" s="974"/>
      <c r="AJ18" s="993"/>
      <c r="AK18" s="993"/>
      <c r="AL18" s="977"/>
      <c r="AM18" s="995"/>
      <c r="AN18" s="994"/>
      <c r="AO18" s="995"/>
      <c r="AP18" s="1016"/>
    </row>
    <row r="19" spans="1:42" ht="50.1" customHeight="1" x14ac:dyDescent="0.25">
      <c r="A19" s="206"/>
      <c r="B19" s="930" t="s">
        <v>1835</v>
      </c>
      <c r="C19" s="951" t="s">
        <v>1836</v>
      </c>
      <c r="D19" s="1017"/>
      <c r="E19" s="1018"/>
      <c r="F19" s="1018"/>
      <c r="G19" s="1018"/>
      <c r="H19" s="905"/>
      <c r="I19" s="905"/>
      <c r="J19" s="905"/>
      <c r="K19" s="1019"/>
      <c r="L19" s="1019"/>
      <c r="M19" s="1019"/>
      <c r="N19" s="1019"/>
      <c r="O19" s="1019"/>
      <c r="P19" s="1019"/>
      <c r="Q19" s="997"/>
      <c r="R19" s="1018"/>
      <c r="S19" s="1018"/>
      <c r="T19" s="1018"/>
      <c r="U19" s="1018"/>
      <c r="V19" s="905"/>
      <c r="W19" s="905"/>
      <c r="X19" s="905"/>
      <c r="Y19" s="905"/>
      <c r="Z19" s="905"/>
      <c r="AA19" s="905"/>
      <c r="AB19" s="905"/>
      <c r="AC19" s="904"/>
      <c r="AD19" s="904"/>
      <c r="AE19" s="905"/>
      <c r="AF19" s="905"/>
      <c r="AG19" s="905"/>
      <c r="AH19" s="905"/>
      <c r="AI19" s="905"/>
      <c r="AJ19" s="999"/>
      <c r="AK19" s="999"/>
      <c r="AL19" s="1000"/>
      <c r="AM19" s="909"/>
      <c r="AN19" s="1001"/>
      <c r="AO19" s="1002"/>
      <c r="AP19" s="1003"/>
    </row>
    <row r="20" spans="1:42" ht="50.1" customHeight="1" x14ac:dyDescent="0.2">
      <c r="A20" s="206"/>
      <c r="B20" s="931" t="s">
        <v>1837</v>
      </c>
      <c r="C20" s="845" t="s">
        <v>1838</v>
      </c>
      <c r="D20" s="1017"/>
      <c r="E20" s="1018"/>
      <c r="F20" s="1018"/>
      <c r="G20" s="1018"/>
      <c r="H20" s="997"/>
      <c r="I20" s="902"/>
      <c r="J20" s="902"/>
      <c r="K20" s="902"/>
      <c r="L20" s="902"/>
      <c r="M20" s="902"/>
      <c r="N20" s="902"/>
      <c r="O20" s="902"/>
      <c r="P20" s="902"/>
      <c r="Q20" s="1004"/>
      <c r="R20" s="909"/>
      <c r="S20" s="909"/>
      <c r="T20" s="909"/>
      <c r="U20" s="909"/>
      <c r="V20" s="905"/>
      <c r="W20" s="904"/>
      <c r="X20" s="904"/>
      <c r="Y20" s="998"/>
      <c r="Z20" s="998"/>
      <c r="AA20" s="998"/>
      <c r="AB20" s="998"/>
      <c r="AC20" s="904"/>
      <c r="AD20" s="904"/>
      <c r="AE20" s="905"/>
      <c r="AF20" s="905"/>
      <c r="AG20" s="905"/>
      <c r="AH20" s="905"/>
      <c r="AI20" s="905"/>
      <c r="AJ20" s="999"/>
      <c r="AK20" s="999"/>
      <c r="AL20" s="1000"/>
      <c r="AM20" s="909"/>
      <c r="AN20" s="1001"/>
      <c r="AO20" s="1002"/>
      <c r="AP20" s="1005"/>
    </row>
    <row r="21" spans="1:42" ht="50.1" customHeight="1" x14ac:dyDescent="0.2">
      <c r="A21" s="206"/>
      <c r="B21" s="931" t="s">
        <v>1839</v>
      </c>
      <c r="C21" s="845" t="s">
        <v>1840</v>
      </c>
      <c r="D21" s="1017"/>
      <c r="E21" s="1018"/>
      <c r="F21" s="1018"/>
      <c r="G21" s="1018"/>
      <c r="H21" s="997"/>
      <c r="I21" s="902"/>
      <c r="J21" s="902"/>
      <c r="K21" s="902"/>
      <c r="L21" s="902"/>
      <c r="M21" s="902"/>
      <c r="N21" s="902"/>
      <c r="O21" s="902"/>
      <c r="P21" s="902"/>
      <c r="Q21" s="1004"/>
      <c r="R21" s="909"/>
      <c r="S21" s="909"/>
      <c r="T21" s="909"/>
      <c r="U21" s="909"/>
      <c r="V21" s="905"/>
      <c r="W21" s="904"/>
      <c r="X21" s="904"/>
      <c r="Y21" s="998"/>
      <c r="Z21" s="998"/>
      <c r="AA21" s="998"/>
      <c r="AB21" s="998"/>
      <c r="AC21" s="904"/>
      <c r="AD21" s="904"/>
      <c r="AE21" s="905"/>
      <c r="AF21" s="905"/>
      <c r="AG21" s="905"/>
      <c r="AH21" s="905"/>
      <c r="AI21" s="905"/>
      <c r="AJ21" s="999"/>
      <c r="AK21" s="999"/>
      <c r="AL21" s="1000"/>
      <c r="AM21" s="909"/>
      <c r="AN21" s="1001"/>
      <c r="AO21" s="1002"/>
      <c r="AP21" s="1005"/>
    </row>
    <row r="22" spans="1:42" ht="50.1" customHeight="1" x14ac:dyDescent="0.25">
      <c r="A22" s="206"/>
      <c r="B22" s="930" t="s">
        <v>1841</v>
      </c>
      <c r="C22" s="951" t="s">
        <v>1842</v>
      </c>
      <c r="D22" s="1017"/>
      <c r="E22" s="1018"/>
      <c r="F22" s="1018"/>
      <c r="G22" s="1018"/>
      <c r="H22" s="905"/>
      <c r="I22" s="905"/>
      <c r="J22" s="905"/>
      <c r="K22" s="1019"/>
      <c r="L22" s="1019"/>
      <c r="M22" s="1019"/>
      <c r="N22" s="1019"/>
      <c r="O22" s="1019"/>
      <c r="P22" s="1019"/>
      <c r="Q22" s="1020"/>
      <c r="R22" s="1019"/>
      <c r="S22" s="1019"/>
      <c r="T22" s="1019"/>
      <c r="U22" s="1019"/>
      <c r="V22" s="905"/>
      <c r="W22" s="905"/>
      <c r="X22" s="905"/>
      <c r="Y22" s="905"/>
      <c r="Z22" s="905"/>
      <c r="AA22" s="905"/>
      <c r="AB22" s="905"/>
      <c r="AC22" s="904"/>
      <c r="AD22" s="904"/>
      <c r="AE22" s="905"/>
      <c r="AF22" s="905"/>
      <c r="AG22" s="905"/>
      <c r="AH22" s="905"/>
      <c r="AI22" s="905"/>
      <c r="AJ22" s="999"/>
      <c r="AK22" s="999"/>
      <c r="AL22" s="1000"/>
      <c r="AM22" s="909"/>
      <c r="AN22" s="1001"/>
      <c r="AO22" s="1002"/>
      <c r="AP22" s="1003"/>
    </row>
    <row r="23" spans="1:42" ht="50.1" customHeight="1" x14ac:dyDescent="0.2">
      <c r="A23" s="206"/>
      <c r="B23" s="931" t="s">
        <v>1843</v>
      </c>
      <c r="C23" s="845" t="s">
        <v>1844</v>
      </c>
      <c r="D23" s="1017"/>
      <c r="E23" s="1018"/>
      <c r="F23" s="1018"/>
      <c r="G23" s="1018"/>
      <c r="H23" s="997"/>
      <c r="I23" s="902"/>
      <c r="J23" s="902"/>
      <c r="K23" s="902"/>
      <c r="L23" s="902"/>
      <c r="M23" s="902"/>
      <c r="N23" s="902"/>
      <c r="O23" s="902"/>
      <c r="P23" s="902"/>
      <c r="Q23" s="1004"/>
      <c r="R23" s="902"/>
      <c r="S23" s="902"/>
      <c r="T23" s="902"/>
      <c r="U23" s="902"/>
      <c r="V23" s="905"/>
      <c r="W23" s="904"/>
      <c r="X23" s="904"/>
      <c r="Y23" s="998"/>
      <c r="Z23" s="998"/>
      <c r="AA23" s="998"/>
      <c r="AB23" s="998"/>
      <c r="AC23" s="904"/>
      <c r="AD23" s="904"/>
      <c r="AE23" s="905"/>
      <c r="AF23" s="905"/>
      <c r="AG23" s="905"/>
      <c r="AH23" s="905"/>
      <c r="AI23" s="905"/>
      <c r="AJ23" s="999"/>
      <c r="AK23" s="999"/>
      <c r="AL23" s="1000"/>
      <c r="AM23" s="909"/>
      <c r="AN23" s="1001"/>
      <c r="AO23" s="1002"/>
      <c r="AP23" s="1005"/>
    </row>
    <row r="24" spans="1:42" ht="50.1" customHeight="1" x14ac:dyDescent="0.2">
      <c r="A24" s="206"/>
      <c r="B24" s="931" t="s">
        <v>1845</v>
      </c>
      <c r="C24" s="845" t="s">
        <v>1846</v>
      </c>
      <c r="D24" s="1006"/>
      <c r="E24" s="1007"/>
      <c r="F24" s="1007"/>
      <c r="G24" s="1007"/>
      <c r="H24" s="1008"/>
      <c r="I24" s="919"/>
      <c r="J24" s="919"/>
      <c r="K24" s="919"/>
      <c r="L24" s="919"/>
      <c r="M24" s="919"/>
      <c r="N24" s="919"/>
      <c r="O24" s="919"/>
      <c r="P24" s="919"/>
      <c r="Q24" s="1021"/>
      <c r="R24" s="919"/>
      <c r="S24" s="919"/>
      <c r="T24" s="919"/>
      <c r="U24" s="919"/>
      <c r="V24" s="920"/>
      <c r="W24" s="918"/>
      <c r="X24" s="918"/>
      <c r="Y24" s="1022"/>
      <c r="Z24" s="1022"/>
      <c r="AA24" s="1022"/>
      <c r="AB24" s="1022"/>
      <c r="AC24" s="918"/>
      <c r="AD24" s="918"/>
      <c r="AE24" s="920"/>
      <c r="AF24" s="920"/>
      <c r="AG24" s="920"/>
      <c r="AH24" s="920"/>
      <c r="AI24" s="920"/>
      <c r="AJ24" s="1010"/>
      <c r="AK24" s="1010"/>
      <c r="AL24" s="983"/>
      <c r="AM24" s="1012"/>
      <c r="AN24" s="1011"/>
      <c r="AO24" s="1012"/>
      <c r="AP24" s="1023"/>
    </row>
    <row r="25" spans="1:42" ht="50.1" customHeight="1" x14ac:dyDescent="0.2">
      <c r="A25" s="206"/>
      <c r="B25" s="930" t="s">
        <v>1847</v>
      </c>
      <c r="C25" s="949" t="s">
        <v>1848</v>
      </c>
      <c r="D25" s="1014"/>
      <c r="E25" s="1015"/>
      <c r="F25" s="1015"/>
      <c r="G25" s="1015"/>
      <c r="H25" s="974"/>
      <c r="I25" s="974"/>
      <c r="J25" s="974"/>
      <c r="K25" s="974"/>
      <c r="L25" s="974"/>
      <c r="M25" s="974"/>
      <c r="N25" s="974"/>
      <c r="O25" s="974"/>
      <c r="P25" s="974"/>
      <c r="Q25" s="1024"/>
      <c r="R25" s="974"/>
      <c r="S25" s="974"/>
      <c r="T25" s="974"/>
      <c r="U25" s="974"/>
      <c r="V25" s="974"/>
      <c r="W25" s="974"/>
      <c r="X25" s="974"/>
      <c r="Y25" s="974"/>
      <c r="Z25" s="974"/>
      <c r="AA25" s="974"/>
      <c r="AB25" s="974"/>
      <c r="AC25" s="991"/>
      <c r="AD25" s="991"/>
      <c r="AE25" s="974"/>
      <c r="AF25" s="974"/>
      <c r="AG25" s="974"/>
      <c r="AH25" s="974"/>
      <c r="AI25" s="974"/>
      <c r="AJ25" s="993"/>
      <c r="AK25" s="993"/>
      <c r="AL25" s="977"/>
      <c r="AM25" s="995"/>
      <c r="AN25" s="994"/>
      <c r="AO25" s="995"/>
      <c r="AP25" s="1016"/>
    </row>
    <row r="26" spans="1:42" ht="50.1" customHeight="1" x14ac:dyDescent="0.25">
      <c r="A26" s="206"/>
      <c r="B26" s="930" t="s">
        <v>1849</v>
      </c>
      <c r="C26" s="951" t="s">
        <v>1850</v>
      </c>
      <c r="D26" s="1017"/>
      <c r="E26" s="1018"/>
      <c r="F26" s="1018"/>
      <c r="G26" s="1018"/>
      <c r="H26" s="905"/>
      <c r="I26" s="905"/>
      <c r="J26" s="905"/>
      <c r="K26" s="905"/>
      <c r="L26" s="905"/>
      <c r="M26" s="905"/>
      <c r="N26" s="905"/>
      <c r="O26" s="905"/>
      <c r="P26" s="905"/>
      <c r="Q26" s="1025"/>
      <c r="R26" s="907"/>
      <c r="S26" s="907"/>
      <c r="T26" s="907"/>
      <c r="U26" s="907"/>
      <c r="V26" s="905"/>
      <c r="W26" s="905"/>
      <c r="X26" s="905"/>
      <c r="Y26" s="905"/>
      <c r="Z26" s="905"/>
      <c r="AA26" s="905"/>
      <c r="AB26" s="905"/>
      <c r="AC26" s="904"/>
      <c r="AD26" s="904"/>
      <c r="AE26" s="905"/>
      <c r="AF26" s="905"/>
      <c r="AG26" s="905"/>
      <c r="AH26" s="905"/>
      <c r="AI26" s="905"/>
      <c r="AJ26" s="999"/>
      <c r="AK26" s="999"/>
      <c r="AL26" s="1000"/>
      <c r="AM26" s="909"/>
      <c r="AN26" s="1001"/>
      <c r="AO26" s="1002"/>
      <c r="AP26" s="1003"/>
    </row>
    <row r="27" spans="1:42" ht="50.1" customHeight="1" x14ac:dyDescent="0.2">
      <c r="A27" s="206"/>
      <c r="B27" s="931" t="s">
        <v>1851</v>
      </c>
      <c r="C27" s="845" t="s">
        <v>1852</v>
      </c>
      <c r="D27" s="1017"/>
      <c r="E27" s="1018"/>
      <c r="F27" s="1018"/>
      <c r="G27" s="1018"/>
      <c r="H27" s="997"/>
      <c r="I27" s="902"/>
      <c r="J27" s="902"/>
      <c r="K27" s="902"/>
      <c r="L27" s="902"/>
      <c r="M27" s="902"/>
      <c r="N27" s="902"/>
      <c r="O27" s="902"/>
      <c r="P27" s="902"/>
      <c r="Q27" s="1004"/>
      <c r="R27" s="909"/>
      <c r="S27" s="909"/>
      <c r="T27" s="909"/>
      <c r="U27" s="909"/>
      <c r="V27" s="905"/>
      <c r="W27" s="904"/>
      <c r="X27" s="904"/>
      <c r="Y27" s="998"/>
      <c r="Z27" s="998"/>
      <c r="AA27" s="998"/>
      <c r="AB27" s="998"/>
      <c r="AC27" s="904"/>
      <c r="AD27" s="904"/>
      <c r="AE27" s="905"/>
      <c r="AF27" s="905"/>
      <c r="AG27" s="905"/>
      <c r="AH27" s="905"/>
      <c r="AI27" s="905"/>
      <c r="AJ27" s="999"/>
      <c r="AK27" s="999"/>
      <c r="AL27" s="1000"/>
      <c r="AM27" s="909"/>
      <c r="AN27" s="1001"/>
      <c r="AO27" s="1002"/>
      <c r="AP27" s="1005"/>
    </row>
    <row r="28" spans="1:42" ht="50.1" customHeight="1" x14ac:dyDescent="0.2">
      <c r="A28" s="206"/>
      <c r="B28" s="931" t="s">
        <v>1853</v>
      </c>
      <c r="C28" s="845" t="s">
        <v>1854</v>
      </c>
      <c r="D28" s="1017"/>
      <c r="E28" s="1018"/>
      <c r="F28" s="1018"/>
      <c r="G28" s="1018"/>
      <c r="H28" s="997"/>
      <c r="I28" s="902"/>
      <c r="J28" s="902"/>
      <c r="K28" s="902"/>
      <c r="L28" s="902"/>
      <c r="M28" s="902"/>
      <c r="N28" s="902"/>
      <c r="O28" s="902"/>
      <c r="P28" s="902"/>
      <c r="Q28" s="1004"/>
      <c r="R28" s="909"/>
      <c r="S28" s="909"/>
      <c r="T28" s="909"/>
      <c r="U28" s="909"/>
      <c r="V28" s="905"/>
      <c r="W28" s="904"/>
      <c r="X28" s="904"/>
      <c r="Y28" s="998"/>
      <c r="Z28" s="998"/>
      <c r="AA28" s="998"/>
      <c r="AB28" s="998"/>
      <c r="AC28" s="904"/>
      <c r="AD28" s="904"/>
      <c r="AE28" s="905"/>
      <c r="AF28" s="905"/>
      <c r="AG28" s="905"/>
      <c r="AH28" s="905"/>
      <c r="AI28" s="905"/>
      <c r="AJ28" s="999"/>
      <c r="AK28" s="999"/>
      <c r="AL28" s="1000"/>
      <c r="AM28" s="909"/>
      <c r="AN28" s="1001"/>
      <c r="AO28" s="1002"/>
      <c r="AP28" s="1005"/>
    </row>
    <row r="29" spans="1:42" ht="50.1" customHeight="1" x14ac:dyDescent="0.25">
      <c r="A29" s="206"/>
      <c r="B29" s="930" t="s">
        <v>1855</v>
      </c>
      <c r="C29" s="950" t="s">
        <v>1856</v>
      </c>
      <c r="D29" s="1026"/>
      <c r="E29" s="907"/>
      <c r="F29" s="907"/>
      <c r="G29" s="907"/>
      <c r="H29" s="905"/>
      <c r="I29" s="905"/>
      <c r="J29" s="905"/>
      <c r="K29" s="905"/>
      <c r="L29" s="905"/>
      <c r="M29" s="905"/>
      <c r="N29" s="905"/>
      <c r="O29" s="905"/>
      <c r="P29" s="905"/>
      <c r="Q29" s="1025"/>
      <c r="R29" s="905"/>
      <c r="S29" s="905"/>
      <c r="T29" s="905"/>
      <c r="U29" s="905"/>
      <c r="V29" s="905"/>
      <c r="W29" s="905"/>
      <c r="X29" s="905"/>
      <c r="Y29" s="905"/>
      <c r="Z29" s="905"/>
      <c r="AA29" s="905"/>
      <c r="AB29" s="905"/>
      <c r="AC29" s="904"/>
      <c r="AD29" s="904"/>
      <c r="AE29" s="905"/>
      <c r="AF29" s="905"/>
      <c r="AG29" s="905"/>
      <c r="AH29" s="905"/>
      <c r="AI29" s="905"/>
      <c r="AJ29" s="999"/>
      <c r="AK29" s="999"/>
      <c r="AL29" s="1000"/>
      <c r="AM29" s="909"/>
      <c r="AN29" s="1001"/>
      <c r="AO29" s="1002"/>
      <c r="AP29" s="1003"/>
    </row>
    <row r="30" spans="1:42" ht="50.1" customHeight="1" x14ac:dyDescent="0.2">
      <c r="A30" s="206"/>
      <c r="B30" s="931" t="s">
        <v>1857</v>
      </c>
      <c r="C30" s="845" t="s">
        <v>1858</v>
      </c>
      <c r="D30" s="1017"/>
      <c r="E30" s="1018"/>
      <c r="F30" s="1018"/>
      <c r="G30" s="1018"/>
      <c r="H30" s="997"/>
      <c r="I30" s="902"/>
      <c r="J30" s="902"/>
      <c r="K30" s="902"/>
      <c r="L30" s="902"/>
      <c r="M30" s="902"/>
      <c r="N30" s="902"/>
      <c r="O30" s="902"/>
      <c r="P30" s="902"/>
      <c r="Q30" s="1004"/>
      <c r="R30" s="902"/>
      <c r="S30" s="902"/>
      <c r="T30" s="902"/>
      <c r="U30" s="902"/>
      <c r="V30" s="905"/>
      <c r="W30" s="904"/>
      <c r="X30" s="904"/>
      <c r="Y30" s="998"/>
      <c r="Z30" s="998"/>
      <c r="AA30" s="998"/>
      <c r="AB30" s="998"/>
      <c r="AC30" s="904"/>
      <c r="AD30" s="904"/>
      <c r="AE30" s="905"/>
      <c r="AF30" s="905"/>
      <c r="AG30" s="905"/>
      <c r="AH30" s="905"/>
      <c r="AI30" s="905"/>
      <c r="AJ30" s="999"/>
      <c r="AK30" s="999"/>
      <c r="AL30" s="1000"/>
      <c r="AM30" s="909"/>
      <c r="AN30" s="1001"/>
      <c r="AO30" s="1002"/>
      <c r="AP30" s="1005"/>
    </row>
    <row r="31" spans="1:42" ht="50.1" customHeight="1" x14ac:dyDescent="0.2">
      <c r="A31" s="206"/>
      <c r="B31" s="931" t="s">
        <v>1859</v>
      </c>
      <c r="C31" s="845" t="s">
        <v>1860</v>
      </c>
      <c r="D31" s="1006"/>
      <c r="E31" s="1007"/>
      <c r="F31" s="1007"/>
      <c r="G31" s="1007"/>
      <c r="H31" s="1008"/>
      <c r="I31" s="919"/>
      <c r="J31" s="919"/>
      <c r="K31" s="919"/>
      <c r="L31" s="919"/>
      <c r="M31" s="919"/>
      <c r="N31" s="919"/>
      <c r="O31" s="919"/>
      <c r="P31" s="919"/>
      <c r="Q31" s="1021"/>
      <c r="R31" s="919"/>
      <c r="S31" s="919"/>
      <c r="T31" s="919"/>
      <c r="U31" s="919"/>
      <c r="V31" s="920"/>
      <c r="W31" s="918"/>
      <c r="X31" s="918"/>
      <c r="Y31" s="1022"/>
      <c r="Z31" s="1022"/>
      <c r="AA31" s="1022"/>
      <c r="AB31" s="1022"/>
      <c r="AC31" s="918"/>
      <c r="AD31" s="918"/>
      <c r="AE31" s="920"/>
      <c r="AF31" s="920"/>
      <c r="AG31" s="920"/>
      <c r="AH31" s="920"/>
      <c r="AI31" s="920"/>
      <c r="AJ31" s="1010"/>
      <c r="AK31" s="1010"/>
      <c r="AL31" s="983"/>
      <c r="AM31" s="1012"/>
      <c r="AN31" s="1011"/>
      <c r="AO31" s="1012"/>
      <c r="AP31" s="1023"/>
    </row>
    <row r="32" spans="1:42" ht="50.1" customHeight="1" x14ac:dyDescent="0.25">
      <c r="A32" s="206"/>
      <c r="B32" s="933"/>
      <c r="C32" s="2042" t="s">
        <v>1861</v>
      </c>
      <c r="D32" s="2042"/>
      <c r="E32" s="2042"/>
      <c r="F32" s="2042"/>
      <c r="G32" s="2042"/>
      <c r="H32" s="2042"/>
      <c r="I32" s="2042"/>
      <c r="J32" s="2042"/>
      <c r="K32" s="2042"/>
      <c r="L32" s="2042"/>
      <c r="M32" s="2042"/>
      <c r="N32" s="2042"/>
      <c r="O32" s="2042"/>
      <c r="P32" s="2042"/>
      <c r="Q32" s="2042"/>
      <c r="R32" s="2042"/>
      <c r="S32" s="2042"/>
      <c r="T32" s="2042"/>
      <c r="U32" s="2042"/>
      <c r="V32" s="2042"/>
      <c r="W32" s="2042"/>
      <c r="X32" s="2042"/>
      <c r="Y32" s="2042"/>
      <c r="Z32" s="2042"/>
      <c r="AA32" s="2042"/>
      <c r="AB32" s="2042"/>
      <c r="AC32" s="2042"/>
      <c r="AD32" s="2042"/>
      <c r="AE32" s="2042"/>
      <c r="AF32" s="2042"/>
      <c r="AG32" s="2042"/>
      <c r="AH32" s="2042"/>
      <c r="AI32" s="2042"/>
      <c r="AJ32" s="2042"/>
      <c r="AK32" s="2042"/>
      <c r="AL32" s="2042"/>
      <c r="AM32" s="2042"/>
      <c r="AN32" s="2042"/>
      <c r="AO32" s="2042"/>
      <c r="AP32" s="2043"/>
    </row>
    <row r="33" spans="1:42" ht="50.1" customHeight="1" x14ac:dyDescent="0.2">
      <c r="A33" s="206"/>
      <c r="B33" s="934" t="s">
        <v>1862</v>
      </c>
      <c r="C33" s="952" t="s">
        <v>1863</v>
      </c>
      <c r="D33" s="1027"/>
      <c r="E33" s="1028"/>
      <c r="F33" s="1028"/>
      <c r="G33" s="1028"/>
      <c r="H33" s="1028"/>
      <c r="I33" s="1028"/>
      <c r="J33" s="1028"/>
      <c r="K33" s="1028"/>
      <c r="L33" s="1028"/>
      <c r="M33" s="1028"/>
      <c r="N33" s="1028"/>
      <c r="O33" s="1028"/>
      <c r="P33" s="1028"/>
      <c r="Q33" s="1028"/>
      <c r="R33" s="1028"/>
      <c r="S33" s="1028"/>
      <c r="T33" s="1028"/>
      <c r="U33" s="1028"/>
      <c r="V33" s="974"/>
      <c r="W33" s="1028"/>
      <c r="X33" s="974"/>
      <c r="Y33" s="974"/>
      <c r="Z33" s="974"/>
      <c r="AA33" s="974"/>
      <c r="AB33" s="974"/>
      <c r="AC33" s="974"/>
      <c r="AD33" s="974"/>
      <c r="AE33" s="1028"/>
      <c r="AF33" s="1028"/>
      <c r="AG33" s="1028"/>
      <c r="AH33" s="1028"/>
      <c r="AI33" s="1028"/>
      <c r="AJ33" s="976"/>
      <c r="AK33" s="976"/>
      <c r="AL33" s="1029"/>
      <c r="AM33" s="995"/>
      <c r="AN33" s="995"/>
      <c r="AO33" s="995"/>
      <c r="AP33" s="1016"/>
    </row>
    <row r="34" spans="1:42" ht="50.1" customHeight="1" x14ac:dyDescent="0.2">
      <c r="A34" s="206"/>
      <c r="B34" s="934" t="s">
        <v>1864</v>
      </c>
      <c r="C34" s="952" t="s">
        <v>1865</v>
      </c>
      <c r="D34" s="1030"/>
      <c r="E34" s="907"/>
      <c r="F34" s="907"/>
      <c r="G34" s="907"/>
      <c r="H34" s="907"/>
      <c r="I34" s="907"/>
      <c r="J34" s="907"/>
      <c r="K34" s="907"/>
      <c r="L34" s="907"/>
      <c r="M34" s="907"/>
      <c r="N34" s="907"/>
      <c r="O34" s="907"/>
      <c r="P34" s="907"/>
      <c r="Q34" s="907"/>
      <c r="R34" s="907"/>
      <c r="S34" s="907"/>
      <c r="T34" s="907"/>
      <c r="U34" s="907"/>
      <c r="V34" s="905"/>
      <c r="W34" s="1028"/>
      <c r="X34" s="905"/>
      <c r="Y34" s="905"/>
      <c r="Z34" s="905"/>
      <c r="AA34" s="905"/>
      <c r="AB34" s="905"/>
      <c r="AC34" s="905"/>
      <c r="AD34" s="905"/>
      <c r="AE34" s="907"/>
      <c r="AF34" s="907"/>
      <c r="AG34" s="907"/>
      <c r="AH34" s="907"/>
      <c r="AI34" s="907"/>
      <c r="AJ34" s="1031"/>
      <c r="AK34" s="1031"/>
      <c r="AL34" s="1032"/>
      <c r="AM34" s="1002"/>
      <c r="AN34" s="1002"/>
      <c r="AO34" s="1002"/>
      <c r="AP34" s="1003"/>
    </row>
    <row r="35" spans="1:42" ht="50.1" customHeight="1" x14ac:dyDescent="0.2">
      <c r="A35" s="206"/>
      <c r="B35" s="934" t="s">
        <v>1866</v>
      </c>
      <c r="C35" s="952" t="s">
        <v>1867</v>
      </c>
      <c r="D35" s="1030"/>
      <c r="E35" s="907"/>
      <c r="F35" s="907"/>
      <c r="G35" s="907"/>
      <c r="H35" s="907"/>
      <c r="I35" s="907"/>
      <c r="J35" s="907"/>
      <c r="K35" s="907"/>
      <c r="L35" s="907"/>
      <c r="M35" s="907"/>
      <c r="N35" s="907"/>
      <c r="O35" s="907"/>
      <c r="P35" s="907"/>
      <c r="Q35" s="907"/>
      <c r="R35" s="907"/>
      <c r="S35" s="907"/>
      <c r="T35" s="907"/>
      <c r="U35" s="907"/>
      <c r="V35" s="905"/>
      <c r="W35" s="1028"/>
      <c r="X35" s="905"/>
      <c r="Y35" s="905"/>
      <c r="Z35" s="905"/>
      <c r="AA35" s="905"/>
      <c r="AB35" s="905"/>
      <c r="AC35" s="905"/>
      <c r="AD35" s="905"/>
      <c r="AE35" s="907"/>
      <c r="AF35" s="907"/>
      <c r="AG35" s="907"/>
      <c r="AH35" s="907"/>
      <c r="AI35" s="907"/>
      <c r="AJ35" s="1031"/>
      <c r="AK35" s="1031"/>
      <c r="AL35" s="1032"/>
      <c r="AM35" s="1002"/>
      <c r="AN35" s="1002"/>
      <c r="AO35" s="1002"/>
      <c r="AP35" s="1003"/>
    </row>
    <row r="36" spans="1:42" ht="50.1" customHeight="1" x14ac:dyDescent="0.2">
      <c r="A36" s="206"/>
      <c r="B36" s="934" t="s">
        <v>1868</v>
      </c>
      <c r="C36" s="952" t="s">
        <v>1869</v>
      </c>
      <c r="D36" s="1030"/>
      <c r="E36" s="907"/>
      <c r="F36" s="907"/>
      <c r="G36" s="907"/>
      <c r="H36" s="907"/>
      <c r="I36" s="907"/>
      <c r="J36" s="907"/>
      <c r="K36" s="907"/>
      <c r="L36" s="907"/>
      <c r="M36" s="907"/>
      <c r="N36" s="907"/>
      <c r="O36" s="907"/>
      <c r="P36" s="907"/>
      <c r="Q36" s="907"/>
      <c r="R36" s="907"/>
      <c r="S36" s="907"/>
      <c r="T36" s="907"/>
      <c r="U36" s="907"/>
      <c r="V36" s="905"/>
      <c r="W36" s="1028"/>
      <c r="X36" s="905"/>
      <c r="Y36" s="905"/>
      <c r="Z36" s="905"/>
      <c r="AA36" s="905"/>
      <c r="AB36" s="905"/>
      <c r="AC36" s="905"/>
      <c r="AD36" s="905"/>
      <c r="AE36" s="907"/>
      <c r="AF36" s="907"/>
      <c r="AG36" s="907"/>
      <c r="AH36" s="907"/>
      <c r="AI36" s="907"/>
      <c r="AJ36" s="1031"/>
      <c r="AK36" s="1031"/>
      <c r="AL36" s="1032"/>
      <c r="AM36" s="1002"/>
      <c r="AN36" s="1002"/>
      <c r="AO36" s="1002"/>
      <c r="AP36" s="1003"/>
    </row>
    <row r="37" spans="1:42" ht="84.75" customHeight="1" thickBot="1" x14ac:dyDescent="0.3">
      <c r="A37" s="206"/>
      <c r="B37" s="1040" t="s">
        <v>1870</v>
      </c>
      <c r="C37" s="1041" t="s">
        <v>1871</v>
      </c>
      <c r="D37" s="1033"/>
      <c r="E37" s="1034"/>
      <c r="F37" s="1034"/>
      <c r="G37" s="1034"/>
      <c r="H37" s="1034"/>
      <c r="I37" s="1034"/>
      <c r="J37" s="1034"/>
      <c r="K37" s="1034"/>
      <c r="L37" s="1034"/>
      <c r="M37" s="1034"/>
      <c r="N37" s="1034"/>
      <c r="O37" s="1034"/>
      <c r="P37" s="1034"/>
      <c r="Q37" s="1034"/>
      <c r="R37" s="1034"/>
      <c r="S37" s="1034"/>
      <c r="T37" s="1034"/>
      <c r="U37" s="1034"/>
      <c r="V37" s="1035"/>
      <c r="W37" s="1028"/>
      <c r="X37" s="1035"/>
      <c r="Y37" s="1035"/>
      <c r="Z37" s="1035"/>
      <c r="AA37" s="1035"/>
      <c r="AB37" s="1035"/>
      <c r="AC37" s="1035"/>
      <c r="AD37" s="1035"/>
      <c r="AE37" s="1034"/>
      <c r="AF37" s="1034"/>
      <c r="AG37" s="1034"/>
      <c r="AH37" s="1034"/>
      <c r="AI37" s="1034"/>
      <c r="AJ37" s="1036"/>
      <c r="AK37" s="1036"/>
      <c r="AL37" s="1037"/>
      <c r="AM37" s="1038"/>
      <c r="AN37" s="1038"/>
      <c r="AO37" s="1038"/>
      <c r="AP37" s="1039"/>
    </row>
    <row r="38" spans="1:42" ht="21.75" x14ac:dyDescent="0.2">
      <c r="AM38" s="207"/>
      <c r="AN38" s="207"/>
      <c r="AO38" s="207"/>
    </row>
    <row r="39" spans="1:42" ht="14.25" x14ac:dyDescent="0.2">
      <c r="AM39" s="208"/>
      <c r="AN39" s="208"/>
      <c r="AO39" s="208"/>
    </row>
    <row r="40" spans="1:42" ht="14.25" x14ac:dyDescent="0.2">
      <c r="AM40" s="208"/>
      <c r="AN40" s="208"/>
      <c r="AO40" s="208"/>
    </row>
    <row r="41" spans="1:42" ht="14.25" x14ac:dyDescent="0.2">
      <c r="AM41" s="208"/>
      <c r="AN41" s="208"/>
      <c r="AO41" s="208"/>
    </row>
  </sheetData>
  <mergeCells count="37">
    <mergeCell ref="C32:AP32"/>
    <mergeCell ref="S5:S6"/>
    <mergeCell ref="T5:T6"/>
    <mergeCell ref="U5:U6"/>
    <mergeCell ref="W5:W6"/>
    <mergeCell ref="X5:X6"/>
    <mergeCell ref="AJ4:AK5"/>
    <mergeCell ref="AL4:AL6"/>
    <mergeCell ref="AM4:AM6"/>
    <mergeCell ref="G5:G6"/>
    <mergeCell ref="H5:H6"/>
    <mergeCell ref="L5:L6"/>
    <mergeCell ref="M5:N5"/>
    <mergeCell ref="Y5:AC5"/>
    <mergeCell ref="B4:C7"/>
    <mergeCell ref="Q4:Q6"/>
    <mergeCell ref="P4:P6"/>
    <mergeCell ref="K4:N4"/>
    <mergeCell ref="K5:K6"/>
    <mergeCell ref="O4:O6"/>
    <mergeCell ref="AE5:AG5"/>
    <mergeCell ref="P2:AE2"/>
    <mergeCell ref="AF2:AP2"/>
    <mergeCell ref="Y4:AE4"/>
    <mergeCell ref="AF4:AI4"/>
    <mergeCell ref="D2:O2"/>
    <mergeCell ref="AN4:AO5"/>
    <mergeCell ref="AP4:AP6"/>
    <mergeCell ref="V4:V6"/>
    <mergeCell ref="R5:R6"/>
    <mergeCell ref="AH5:AI5"/>
    <mergeCell ref="D4:D6"/>
    <mergeCell ref="E4:G4"/>
    <mergeCell ref="I4:I6"/>
    <mergeCell ref="J4:J6"/>
    <mergeCell ref="E5:E6"/>
    <mergeCell ref="R4:U4"/>
  </mergeCells>
  <printOptions horizontalCentered="1" verticalCentered="1"/>
  <pageMargins left="0.51181102362204722" right="0.51181102362204722" top="0.35433070866141736" bottom="0.19685039370078741" header="3.937007874015748E-2" footer="0.15748031496062992"/>
  <pageSetup paperSize="9" scale="24" fitToWidth="3" pageOrder="overThenDown" orientation="landscape" r:id="rId1"/>
  <headerFooter>
    <oddHeader>&amp;CFR
ANNEXE I</oddHeader>
    <oddFooter>&amp;CPage &amp;P</oddFooter>
  </headerFooter>
  <colBreaks count="2" manualBreakCount="2">
    <brk id="15" min="1" max="36" man="1"/>
    <brk id="31" min="1" max="36" man="1"/>
  </colBreaks>
  <ignoredErrors>
    <ignoredError sqref="B8:B37 D7:L7 N7:AP7"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B1:AX90"/>
  <sheetViews>
    <sheetView showGridLines="0" topLeftCell="C6" zoomScale="40" zoomScaleNormal="40" zoomScaleSheetLayoutView="25" zoomScalePageLayoutView="50" workbookViewId="0">
      <selection activeCell="C24" sqref="C24:D24"/>
    </sheetView>
  </sheetViews>
  <sheetFormatPr defaultColWidth="11.44140625" defaultRowHeight="13.8" x14ac:dyDescent="0.25"/>
  <cols>
    <col min="1" max="1" width="2.88671875" style="1522" customWidth="1"/>
    <col min="2" max="2" width="15.6640625" style="1522" customWidth="1"/>
    <col min="3" max="3" width="107.88671875" style="1522" customWidth="1"/>
    <col min="4" max="4" width="13.109375" style="1522" customWidth="1"/>
    <col min="5" max="5" width="27.109375" style="1522" customWidth="1"/>
    <col min="6" max="6" width="24.88671875" style="1522" customWidth="1"/>
    <col min="7" max="7" width="27.88671875" style="1522" customWidth="1"/>
    <col min="8" max="8" width="29.5546875" style="1522" customWidth="1"/>
    <col min="9" max="9" width="33" style="1522" customWidth="1"/>
    <col min="10" max="10" width="27.6640625" style="1522" customWidth="1"/>
    <col min="11" max="11" width="27" style="1522" customWidth="1"/>
    <col min="12" max="12" width="25.33203125" style="1522" customWidth="1"/>
    <col min="13" max="13" width="20.5546875" style="1522" customWidth="1"/>
    <col min="14" max="14" width="28.6640625" style="1522" customWidth="1"/>
    <col min="15" max="15" width="32.88671875" style="1522" customWidth="1"/>
    <col min="16" max="16" width="23.109375" style="1522" customWidth="1"/>
    <col min="17" max="17" width="28.6640625" style="1522" customWidth="1"/>
    <col min="18" max="20" width="27.33203125" style="1522" customWidth="1"/>
    <col min="21" max="21" width="22.33203125" style="1522" customWidth="1"/>
    <col min="22" max="22" width="25.33203125" style="1522" customWidth="1"/>
    <col min="23" max="23" width="34.88671875" style="1522" customWidth="1"/>
    <col min="24" max="25" width="16" style="1522" customWidth="1"/>
    <col min="26" max="35" width="14" style="1522" customWidth="1"/>
    <col min="36" max="36" width="19.6640625" style="1522" customWidth="1"/>
    <col min="37" max="37" width="14.44140625" style="1522" customWidth="1"/>
    <col min="38" max="38" width="20.5546875" style="1522" customWidth="1"/>
    <col min="39" max="39" width="15.6640625" style="1522" customWidth="1"/>
    <col min="40" max="40" width="21.88671875" style="1522" customWidth="1"/>
    <col min="41" max="41" width="17.44140625" style="1522" customWidth="1"/>
    <col min="42" max="42" width="25.6640625" style="1522" customWidth="1"/>
    <col min="43" max="43" width="40" style="1522" customWidth="1"/>
    <col min="44" max="44" width="28.6640625" style="1522" customWidth="1"/>
    <col min="45" max="45" width="35.44140625" style="1522" customWidth="1"/>
    <col min="46" max="47" width="36.109375" style="1522" customWidth="1"/>
    <col min="48" max="49" width="37" style="1522" customWidth="1"/>
    <col min="50" max="50" width="36.88671875" style="1522" customWidth="1"/>
    <col min="51" max="16384" width="11.44140625" style="1522"/>
  </cols>
  <sheetData>
    <row r="1" spans="2:50" ht="15" thickBot="1" x14ac:dyDescent="0.25">
      <c r="C1" s="1589"/>
    </row>
    <row r="2" spans="2:50" ht="149.25" customHeight="1" thickBot="1" x14ac:dyDescent="0.3">
      <c r="B2" s="1590"/>
      <c r="C2" s="1590"/>
      <c r="D2" s="1591"/>
      <c r="E2" s="2108" t="s">
        <v>1872</v>
      </c>
      <c r="F2" s="2109"/>
      <c r="G2" s="2109"/>
      <c r="H2" s="2109"/>
      <c r="I2" s="2109"/>
      <c r="J2" s="2109"/>
      <c r="K2" s="2109"/>
      <c r="L2" s="2109"/>
      <c r="M2" s="2109"/>
      <c r="N2" s="2109"/>
      <c r="O2" s="2109"/>
      <c r="P2" s="2109"/>
      <c r="Q2" s="2109"/>
      <c r="R2" s="2109"/>
      <c r="S2" s="2109"/>
      <c r="T2" s="2109"/>
      <c r="U2" s="2111"/>
      <c r="V2" s="2108" t="s">
        <v>1873</v>
      </c>
      <c r="W2" s="2109"/>
      <c r="X2" s="2109"/>
      <c r="Y2" s="2109"/>
      <c r="Z2" s="2109"/>
      <c r="AA2" s="2109"/>
      <c r="AB2" s="2109"/>
      <c r="AC2" s="2109"/>
      <c r="AD2" s="2109"/>
      <c r="AE2" s="2109"/>
      <c r="AF2" s="2109"/>
      <c r="AG2" s="2109"/>
      <c r="AH2" s="2109"/>
      <c r="AI2" s="2109"/>
      <c r="AJ2" s="2109"/>
      <c r="AK2" s="2109"/>
      <c r="AL2" s="2109"/>
      <c r="AM2" s="2109"/>
      <c r="AN2" s="2109"/>
      <c r="AO2" s="2109"/>
      <c r="AP2" s="2109"/>
      <c r="AQ2" s="2109"/>
      <c r="AR2" s="2109"/>
      <c r="AS2" s="2111"/>
      <c r="AT2" s="2108" t="s">
        <v>1874</v>
      </c>
      <c r="AU2" s="2109"/>
      <c r="AV2" s="2109"/>
      <c r="AW2" s="2109"/>
      <c r="AX2" s="2110"/>
    </row>
    <row r="3" spans="2:50" s="945" customFormat="1" ht="17.25" customHeight="1" thickBot="1" x14ac:dyDescent="0.25">
      <c r="C3" s="209"/>
      <c r="D3" s="209"/>
      <c r="E3" s="535"/>
      <c r="F3" s="535"/>
      <c r="G3" s="535"/>
      <c r="H3" s="535"/>
      <c r="I3" s="535"/>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4"/>
      <c r="AN3" s="204"/>
      <c r="AO3" s="210"/>
      <c r="AP3" s="210"/>
      <c r="AQ3" s="210"/>
      <c r="AR3" s="210"/>
      <c r="AS3" s="210"/>
      <c r="AT3" s="210"/>
    </row>
    <row r="4" spans="2:50" ht="87" customHeight="1" x14ac:dyDescent="0.25">
      <c r="B4" s="2056"/>
      <c r="C4" s="2090"/>
      <c r="D4" s="2057"/>
      <c r="E4" s="2062" t="s">
        <v>1875</v>
      </c>
      <c r="F4" s="2069" t="s">
        <v>1876</v>
      </c>
      <c r="G4" s="2070"/>
      <c r="H4" s="2071"/>
      <c r="I4" s="828" t="s">
        <v>1877</v>
      </c>
      <c r="J4" s="2082" t="s">
        <v>1878</v>
      </c>
      <c r="K4" s="2083"/>
      <c r="L4" s="2083"/>
      <c r="M4" s="2084"/>
      <c r="N4" s="2068" t="s">
        <v>1879</v>
      </c>
      <c r="O4" s="2068" t="s">
        <v>1880</v>
      </c>
      <c r="P4" s="2068" t="s">
        <v>1881</v>
      </c>
      <c r="Q4" s="2099" t="s">
        <v>1882</v>
      </c>
      <c r="R4" s="2100"/>
      <c r="S4" s="2100"/>
      <c r="T4" s="2101"/>
      <c r="U4" s="2099" t="s">
        <v>1883</v>
      </c>
      <c r="V4" s="829"/>
      <c r="W4" s="830"/>
      <c r="X4" s="2082" t="s">
        <v>1884</v>
      </c>
      <c r="Y4" s="2083"/>
      <c r="Z4" s="2083"/>
      <c r="AA4" s="2083"/>
      <c r="AB4" s="2083"/>
      <c r="AC4" s="2083"/>
      <c r="AD4" s="2083"/>
      <c r="AE4" s="2083"/>
      <c r="AF4" s="2083"/>
      <c r="AG4" s="2083"/>
      <c r="AH4" s="2083"/>
      <c r="AI4" s="2083"/>
      <c r="AJ4" s="2083"/>
      <c r="AK4" s="2083"/>
      <c r="AL4" s="2083"/>
      <c r="AM4" s="2083"/>
      <c r="AN4" s="2083"/>
      <c r="AO4" s="2083"/>
      <c r="AP4" s="2084"/>
      <c r="AQ4" s="2068" t="s">
        <v>1885</v>
      </c>
      <c r="AR4" s="2113" t="s">
        <v>1886</v>
      </c>
      <c r="AS4" s="2114"/>
      <c r="AT4" s="2068" t="s">
        <v>1887</v>
      </c>
      <c r="AU4" s="2085" t="s">
        <v>1888</v>
      </c>
      <c r="AV4" s="2075" t="s">
        <v>1889</v>
      </c>
      <c r="AW4" s="2075"/>
      <c r="AX4" s="2079" t="s">
        <v>1890</v>
      </c>
    </row>
    <row r="5" spans="2:50" ht="74.25" customHeight="1" x14ac:dyDescent="0.25">
      <c r="B5" s="2058"/>
      <c r="C5" s="2091"/>
      <c r="D5" s="2059"/>
      <c r="E5" s="2063"/>
      <c r="F5" s="2072" t="s">
        <v>1891</v>
      </c>
      <c r="G5" s="831" t="s">
        <v>1892</v>
      </c>
      <c r="H5" s="2074" t="s">
        <v>1893</v>
      </c>
      <c r="I5" s="2065" t="s">
        <v>1894</v>
      </c>
      <c r="J5" s="2065" t="s">
        <v>1895</v>
      </c>
      <c r="K5" s="2065" t="s">
        <v>1896</v>
      </c>
      <c r="L5" s="2097" t="s">
        <v>1897</v>
      </c>
      <c r="M5" s="2098"/>
      <c r="N5" s="2067"/>
      <c r="O5" s="2067"/>
      <c r="P5" s="2096"/>
      <c r="Q5" s="2117">
        <v>0</v>
      </c>
      <c r="R5" s="2065" t="s">
        <v>1898</v>
      </c>
      <c r="S5" s="2065" t="s">
        <v>1899</v>
      </c>
      <c r="T5" s="2065" t="s">
        <v>1900</v>
      </c>
      <c r="U5" s="2067"/>
      <c r="V5" s="2065" t="s">
        <v>1901</v>
      </c>
      <c r="W5" s="2065" t="s">
        <v>1902</v>
      </c>
      <c r="X5" s="2093" t="s">
        <v>1903</v>
      </c>
      <c r="Y5" s="2094"/>
      <c r="Z5" s="2094"/>
      <c r="AA5" s="2094"/>
      <c r="AB5" s="2094"/>
      <c r="AC5" s="2094"/>
      <c r="AD5" s="2094"/>
      <c r="AE5" s="2094"/>
      <c r="AF5" s="2094"/>
      <c r="AG5" s="2094"/>
      <c r="AH5" s="2094"/>
      <c r="AI5" s="2095"/>
      <c r="AJ5" s="832">
        <v>12.5</v>
      </c>
      <c r="AK5" s="2077" t="s">
        <v>1904</v>
      </c>
      <c r="AL5" s="2078"/>
      <c r="AM5" s="2077" t="s">
        <v>1905</v>
      </c>
      <c r="AN5" s="2078"/>
      <c r="AO5" s="2077" t="s">
        <v>1906</v>
      </c>
      <c r="AP5" s="2078"/>
      <c r="AQ5" s="2067"/>
      <c r="AR5" s="2115"/>
      <c r="AS5" s="2116"/>
      <c r="AT5" s="2067"/>
      <c r="AU5" s="2086"/>
      <c r="AV5" s="2076"/>
      <c r="AW5" s="2076"/>
      <c r="AX5" s="2080"/>
    </row>
    <row r="6" spans="2:50" ht="158.25" customHeight="1" x14ac:dyDescent="0.25">
      <c r="B6" s="2058"/>
      <c r="C6" s="2091"/>
      <c r="D6" s="2059"/>
      <c r="E6" s="2064"/>
      <c r="F6" s="2073"/>
      <c r="G6" s="1528" t="s">
        <v>1907</v>
      </c>
      <c r="H6" s="2064"/>
      <c r="I6" s="2066"/>
      <c r="J6" s="2067"/>
      <c r="K6" s="2067"/>
      <c r="L6" s="833" t="s">
        <v>1908</v>
      </c>
      <c r="M6" s="833" t="s">
        <v>1909</v>
      </c>
      <c r="N6" s="2067"/>
      <c r="O6" s="2067"/>
      <c r="P6" s="2096"/>
      <c r="Q6" s="2118"/>
      <c r="R6" s="2067"/>
      <c r="S6" s="2067"/>
      <c r="T6" s="2067"/>
      <c r="U6" s="2067"/>
      <c r="V6" s="2066"/>
      <c r="W6" s="2066"/>
      <c r="X6" s="834" t="s">
        <v>1910</v>
      </c>
      <c r="Y6" s="834" t="s">
        <v>1911</v>
      </c>
      <c r="Z6" s="834" t="s">
        <v>1912</v>
      </c>
      <c r="AA6" s="834" t="s">
        <v>1913</v>
      </c>
      <c r="AB6" s="834" t="s">
        <v>1914</v>
      </c>
      <c r="AC6" s="834" t="s">
        <v>1915</v>
      </c>
      <c r="AD6" s="834" t="s">
        <v>1916</v>
      </c>
      <c r="AE6" s="834" t="s">
        <v>1917</v>
      </c>
      <c r="AF6" s="834" t="s">
        <v>1918</v>
      </c>
      <c r="AG6" s="834" t="s">
        <v>1919</v>
      </c>
      <c r="AH6" s="834" t="s">
        <v>1920</v>
      </c>
      <c r="AI6" s="834" t="s">
        <v>1921</v>
      </c>
      <c r="AJ6" s="831" t="s">
        <v>1922</v>
      </c>
      <c r="AK6" s="835"/>
      <c r="AL6" s="836" t="s">
        <v>1923</v>
      </c>
      <c r="AM6" s="835"/>
      <c r="AN6" s="836" t="s">
        <v>1924</v>
      </c>
      <c r="AO6" s="835"/>
      <c r="AP6" s="836" t="s">
        <v>1925</v>
      </c>
      <c r="AQ6" s="2067"/>
      <c r="AR6" s="837"/>
      <c r="AS6" s="838" t="s">
        <v>1926</v>
      </c>
      <c r="AT6" s="2066"/>
      <c r="AU6" s="2087"/>
      <c r="AV6" s="839" t="s">
        <v>1927</v>
      </c>
      <c r="AW6" s="839" t="s">
        <v>1928</v>
      </c>
      <c r="AX6" s="2081"/>
    </row>
    <row r="7" spans="2:50" ht="54.75" customHeight="1" x14ac:dyDescent="0.25">
      <c r="B7" s="2060"/>
      <c r="C7" s="2092"/>
      <c r="D7" s="2061"/>
      <c r="E7" s="840" t="s">
        <v>1929</v>
      </c>
      <c r="F7" s="840" t="s">
        <v>1930</v>
      </c>
      <c r="G7" s="840" t="s">
        <v>1931</v>
      </c>
      <c r="H7" s="841" t="s">
        <v>1932</v>
      </c>
      <c r="I7" s="840" t="s">
        <v>1933</v>
      </c>
      <c r="J7" s="841" t="s">
        <v>1934</v>
      </c>
      <c r="K7" s="841" t="s">
        <v>1935</v>
      </c>
      <c r="L7" s="840" t="s">
        <v>1936</v>
      </c>
      <c r="M7" s="840" t="s">
        <v>1937</v>
      </c>
      <c r="N7" s="840" t="s">
        <v>1938</v>
      </c>
      <c r="O7" s="840" t="s">
        <v>1939</v>
      </c>
      <c r="P7" s="840" t="s">
        <v>1940</v>
      </c>
      <c r="Q7" s="840" t="s">
        <v>1941</v>
      </c>
      <c r="R7" s="840" t="s">
        <v>1942</v>
      </c>
      <c r="S7" s="840" t="s">
        <v>1943</v>
      </c>
      <c r="T7" s="840" t="s">
        <v>1944</v>
      </c>
      <c r="U7" s="840" t="s">
        <v>1945</v>
      </c>
      <c r="V7" s="840" t="s">
        <v>1946</v>
      </c>
      <c r="W7" s="840" t="s">
        <v>1947</v>
      </c>
      <c r="X7" s="840" t="s">
        <v>1948</v>
      </c>
      <c r="Y7" s="840" t="s">
        <v>1949</v>
      </c>
      <c r="Z7" s="840" t="s">
        <v>1950</v>
      </c>
      <c r="AA7" s="840" t="s">
        <v>1951</v>
      </c>
      <c r="AB7" s="840" t="s">
        <v>1952</v>
      </c>
      <c r="AC7" s="840" t="s">
        <v>1953</v>
      </c>
      <c r="AD7" s="840" t="s">
        <v>1954</v>
      </c>
      <c r="AE7" s="840" t="s">
        <v>1955</v>
      </c>
      <c r="AF7" s="840" t="s">
        <v>1956</v>
      </c>
      <c r="AG7" s="840" t="s">
        <v>1957</v>
      </c>
      <c r="AH7" s="840" t="s">
        <v>1958</v>
      </c>
      <c r="AI7" s="840" t="s">
        <v>1959</v>
      </c>
      <c r="AJ7" s="840" t="s">
        <v>1960</v>
      </c>
      <c r="AK7" s="840" t="s">
        <v>1961</v>
      </c>
      <c r="AL7" s="840" t="s">
        <v>1962</v>
      </c>
      <c r="AM7" s="840" t="s">
        <v>1963</v>
      </c>
      <c r="AN7" s="840" t="s">
        <v>1964</v>
      </c>
      <c r="AO7" s="840" t="s">
        <v>1965</v>
      </c>
      <c r="AP7" s="840" t="s">
        <v>1966</v>
      </c>
      <c r="AQ7" s="840" t="s">
        <v>1967</v>
      </c>
      <c r="AR7" s="842" t="s">
        <v>1968</v>
      </c>
      <c r="AS7" s="840" t="s">
        <v>1969</v>
      </c>
      <c r="AT7" s="840" t="s">
        <v>1970</v>
      </c>
      <c r="AU7" s="843" t="s">
        <v>1971</v>
      </c>
      <c r="AV7" s="843" t="s">
        <v>1972</v>
      </c>
      <c r="AW7" s="843" t="s">
        <v>1973</v>
      </c>
      <c r="AX7" s="844" t="s">
        <v>1974</v>
      </c>
    </row>
    <row r="8" spans="2:50" ht="50.1" customHeight="1" x14ac:dyDescent="0.25">
      <c r="B8" s="929" t="s">
        <v>1975</v>
      </c>
      <c r="C8" s="2089" t="s">
        <v>1976</v>
      </c>
      <c r="D8" s="2089"/>
      <c r="E8" s="886"/>
      <c r="F8" s="887"/>
      <c r="G8" s="887"/>
      <c r="H8" s="888"/>
      <c r="I8" s="889"/>
      <c r="J8" s="887"/>
      <c r="K8" s="887"/>
      <c r="L8" s="887"/>
      <c r="M8" s="887"/>
      <c r="N8" s="887"/>
      <c r="O8" s="887"/>
      <c r="P8" s="887"/>
      <c r="Q8" s="887"/>
      <c r="R8" s="887"/>
      <c r="S8" s="887"/>
      <c r="T8" s="887"/>
      <c r="U8" s="887"/>
      <c r="V8" s="887"/>
      <c r="W8" s="887"/>
      <c r="X8" s="887"/>
      <c r="Y8" s="887"/>
      <c r="Z8" s="887"/>
      <c r="AA8" s="887"/>
      <c r="AB8" s="887"/>
      <c r="AC8" s="887"/>
      <c r="AD8" s="887"/>
      <c r="AE8" s="887"/>
      <c r="AF8" s="890"/>
      <c r="AG8" s="890"/>
      <c r="AH8" s="890"/>
      <c r="AI8" s="887"/>
      <c r="AJ8" s="887"/>
      <c r="AK8" s="888"/>
      <c r="AL8" s="887"/>
      <c r="AM8" s="888"/>
      <c r="AN8" s="887"/>
      <c r="AO8" s="888"/>
      <c r="AP8" s="887"/>
      <c r="AQ8" s="887"/>
      <c r="AR8" s="887"/>
      <c r="AS8" s="887"/>
      <c r="AT8" s="891"/>
      <c r="AU8" s="887"/>
      <c r="AV8" s="887"/>
      <c r="AW8" s="892" t="s">
        <v>1977</v>
      </c>
      <c r="AX8" s="893"/>
    </row>
    <row r="9" spans="2:50" ht="50.1" customHeight="1" x14ac:dyDescent="0.25">
      <c r="B9" s="930" t="s">
        <v>1978</v>
      </c>
      <c r="C9" s="2088" t="s">
        <v>1979</v>
      </c>
      <c r="D9" s="2088"/>
      <c r="E9" s="894"/>
      <c r="F9" s="895"/>
      <c r="G9" s="895"/>
      <c r="H9" s="895"/>
      <c r="I9" s="896"/>
      <c r="J9" s="895"/>
      <c r="K9" s="895"/>
      <c r="L9" s="895"/>
      <c r="M9" s="895"/>
      <c r="N9" s="895"/>
      <c r="O9" s="895"/>
      <c r="P9" s="895"/>
      <c r="Q9" s="895"/>
      <c r="R9" s="895"/>
      <c r="S9" s="895"/>
      <c r="T9" s="895"/>
      <c r="U9" s="895"/>
      <c r="V9" s="895"/>
      <c r="W9" s="895"/>
      <c r="X9" s="895"/>
      <c r="Y9" s="895"/>
      <c r="Z9" s="895"/>
      <c r="AA9" s="895"/>
      <c r="AB9" s="895"/>
      <c r="AC9" s="895"/>
      <c r="AD9" s="895"/>
      <c r="AE9" s="895"/>
      <c r="AF9" s="897"/>
      <c r="AG9" s="897"/>
      <c r="AH9" s="897"/>
      <c r="AI9" s="895"/>
      <c r="AJ9" s="895"/>
      <c r="AK9" s="895"/>
      <c r="AL9" s="895"/>
      <c r="AM9" s="895"/>
      <c r="AN9" s="895"/>
      <c r="AO9" s="895"/>
      <c r="AP9" s="895"/>
      <c r="AQ9" s="895"/>
      <c r="AR9" s="895"/>
      <c r="AS9" s="895"/>
      <c r="AT9" s="898"/>
      <c r="AU9" s="895"/>
      <c r="AV9" s="895"/>
      <c r="AW9" s="899" t="s">
        <v>1980</v>
      </c>
      <c r="AX9" s="900"/>
    </row>
    <row r="10" spans="2:50" ht="50.1" customHeight="1" x14ac:dyDescent="0.2">
      <c r="B10" s="930" t="s">
        <v>1981</v>
      </c>
      <c r="C10" s="2112" t="s">
        <v>1982</v>
      </c>
      <c r="D10" s="2112"/>
      <c r="E10" s="901"/>
      <c r="F10" s="902"/>
      <c r="G10" s="902"/>
      <c r="H10" s="903"/>
      <c r="I10" s="904"/>
      <c r="J10" s="905"/>
      <c r="K10" s="905"/>
      <c r="L10" s="905"/>
      <c r="M10" s="905"/>
      <c r="N10" s="905"/>
      <c r="O10" s="905"/>
      <c r="P10" s="905"/>
      <c r="Q10" s="904"/>
      <c r="R10" s="904"/>
      <c r="S10" s="904"/>
      <c r="T10" s="904"/>
      <c r="U10" s="905"/>
      <c r="V10" s="905"/>
      <c r="W10" s="905"/>
      <c r="X10" s="905"/>
      <c r="Y10" s="905"/>
      <c r="Z10" s="905"/>
      <c r="AA10" s="905"/>
      <c r="AB10" s="905"/>
      <c r="AC10" s="905"/>
      <c r="AD10" s="905"/>
      <c r="AE10" s="905"/>
      <c r="AF10" s="897"/>
      <c r="AG10" s="897"/>
      <c r="AH10" s="869"/>
      <c r="AI10" s="869"/>
      <c r="AJ10" s="869"/>
      <c r="AK10" s="906"/>
      <c r="AL10" s="872"/>
      <c r="AM10" s="906"/>
      <c r="AN10" s="872"/>
      <c r="AO10" s="906"/>
      <c r="AP10" s="872"/>
      <c r="AQ10" s="904"/>
      <c r="AR10" s="904"/>
      <c r="AS10" s="904"/>
      <c r="AT10" s="898"/>
      <c r="AU10" s="905"/>
      <c r="AV10" s="905"/>
      <c r="AW10" s="907"/>
      <c r="AX10" s="873"/>
    </row>
    <row r="11" spans="2:50" ht="50.1" customHeight="1" x14ac:dyDescent="0.25">
      <c r="B11" s="930" t="s">
        <v>1983</v>
      </c>
      <c r="C11" s="2105" t="s">
        <v>1984</v>
      </c>
      <c r="D11" s="2105"/>
      <c r="E11" s="901"/>
      <c r="F11" s="902"/>
      <c r="G11" s="902"/>
      <c r="H11" s="902"/>
      <c r="I11" s="904"/>
      <c r="J11" s="905"/>
      <c r="K11" s="905"/>
      <c r="L11" s="905"/>
      <c r="M11" s="905"/>
      <c r="N11" s="905"/>
      <c r="O11" s="905"/>
      <c r="P11" s="905"/>
      <c r="Q11" s="907"/>
      <c r="R11" s="907"/>
      <c r="S11" s="907"/>
      <c r="T11" s="907"/>
      <c r="U11" s="905"/>
      <c r="V11" s="905"/>
      <c r="W11" s="905"/>
      <c r="X11" s="905"/>
      <c r="Y11" s="905"/>
      <c r="Z11" s="905"/>
      <c r="AA11" s="905"/>
      <c r="AB11" s="905"/>
      <c r="AC11" s="905"/>
      <c r="AD11" s="905"/>
      <c r="AE11" s="905"/>
      <c r="AF11" s="897"/>
      <c r="AG11" s="897"/>
      <c r="AH11" s="869"/>
      <c r="AI11" s="869"/>
      <c r="AJ11" s="869"/>
      <c r="AK11" s="906"/>
      <c r="AL11" s="872"/>
      <c r="AM11" s="908"/>
      <c r="AN11" s="908"/>
      <c r="AO11" s="906"/>
      <c r="AP11" s="872"/>
      <c r="AQ11" s="904"/>
      <c r="AR11" s="904"/>
      <c r="AS11" s="904"/>
      <c r="AT11" s="898"/>
      <c r="AU11" s="905"/>
      <c r="AV11" s="905"/>
      <c r="AW11" s="907"/>
      <c r="AX11" s="873"/>
    </row>
    <row r="12" spans="2:50" ht="50.1" customHeight="1" x14ac:dyDescent="0.25">
      <c r="B12" s="931" t="s">
        <v>1985</v>
      </c>
      <c r="C12" s="2106" t="s">
        <v>1986</v>
      </c>
      <c r="D12" s="845" t="s">
        <v>1987</v>
      </c>
      <c r="E12" s="901"/>
      <c r="F12" s="902"/>
      <c r="G12" s="902"/>
      <c r="H12" s="902"/>
      <c r="I12" s="904"/>
      <c r="J12" s="902"/>
      <c r="K12" s="902"/>
      <c r="L12" s="902"/>
      <c r="M12" s="902"/>
      <c r="N12" s="902"/>
      <c r="O12" s="902"/>
      <c r="P12" s="905"/>
      <c r="Q12" s="909"/>
      <c r="R12" s="909"/>
      <c r="S12" s="909"/>
      <c r="T12" s="909"/>
      <c r="U12" s="905"/>
      <c r="V12" s="905"/>
      <c r="W12" s="905"/>
      <c r="X12" s="905"/>
      <c r="Y12" s="905"/>
      <c r="Z12" s="905"/>
      <c r="AA12" s="905"/>
      <c r="AB12" s="905"/>
      <c r="AC12" s="905"/>
      <c r="AD12" s="905"/>
      <c r="AE12" s="905"/>
      <c r="AF12" s="897"/>
      <c r="AG12" s="897"/>
      <c r="AH12" s="869"/>
      <c r="AI12" s="869"/>
      <c r="AJ12" s="869"/>
      <c r="AK12" s="906"/>
      <c r="AL12" s="872"/>
      <c r="AM12" s="910"/>
      <c r="AN12" s="910"/>
      <c r="AO12" s="906"/>
      <c r="AP12" s="872"/>
      <c r="AQ12" s="904"/>
      <c r="AR12" s="904"/>
      <c r="AS12" s="904"/>
      <c r="AT12" s="898"/>
      <c r="AU12" s="902"/>
      <c r="AV12" s="902"/>
      <c r="AW12" s="911"/>
      <c r="AX12" s="873"/>
    </row>
    <row r="13" spans="2:50" ht="50.1" customHeight="1" x14ac:dyDescent="0.25">
      <c r="B13" s="931" t="s">
        <v>1988</v>
      </c>
      <c r="C13" s="2106"/>
      <c r="D13" s="845" t="s">
        <v>1989</v>
      </c>
      <c r="E13" s="901"/>
      <c r="F13" s="902"/>
      <c r="G13" s="902"/>
      <c r="H13" s="902"/>
      <c r="I13" s="904"/>
      <c r="J13" s="902"/>
      <c r="K13" s="902"/>
      <c r="L13" s="902"/>
      <c r="M13" s="902"/>
      <c r="N13" s="902"/>
      <c r="O13" s="902"/>
      <c r="P13" s="905"/>
      <c r="Q13" s="909"/>
      <c r="R13" s="909"/>
      <c r="S13" s="909"/>
      <c r="T13" s="909"/>
      <c r="U13" s="905"/>
      <c r="V13" s="905"/>
      <c r="W13" s="905"/>
      <c r="X13" s="905"/>
      <c r="Y13" s="905"/>
      <c r="Z13" s="905"/>
      <c r="AA13" s="905"/>
      <c r="AB13" s="905"/>
      <c r="AC13" s="905"/>
      <c r="AD13" s="905"/>
      <c r="AE13" s="905"/>
      <c r="AF13" s="897"/>
      <c r="AG13" s="897"/>
      <c r="AH13" s="869"/>
      <c r="AI13" s="869"/>
      <c r="AJ13" s="869"/>
      <c r="AK13" s="906"/>
      <c r="AL13" s="872"/>
      <c r="AM13" s="910"/>
      <c r="AN13" s="910"/>
      <c r="AO13" s="906"/>
      <c r="AP13" s="872"/>
      <c r="AQ13" s="904"/>
      <c r="AR13" s="904"/>
      <c r="AS13" s="904"/>
      <c r="AT13" s="898"/>
      <c r="AU13" s="902"/>
      <c r="AV13" s="902"/>
      <c r="AW13" s="911"/>
      <c r="AX13" s="873"/>
    </row>
    <row r="14" spans="2:50" ht="50.1" customHeight="1" x14ac:dyDescent="0.25">
      <c r="B14" s="931" t="s">
        <v>1990</v>
      </c>
      <c r="C14" s="2106"/>
      <c r="D14" s="845" t="s">
        <v>1991</v>
      </c>
      <c r="E14" s="901"/>
      <c r="F14" s="902"/>
      <c r="G14" s="902"/>
      <c r="H14" s="902"/>
      <c r="I14" s="904"/>
      <c r="J14" s="902"/>
      <c r="K14" s="902"/>
      <c r="L14" s="902"/>
      <c r="M14" s="902"/>
      <c r="N14" s="902"/>
      <c r="O14" s="902"/>
      <c r="P14" s="905"/>
      <c r="Q14" s="909"/>
      <c r="R14" s="909"/>
      <c r="S14" s="909"/>
      <c r="T14" s="909"/>
      <c r="U14" s="905"/>
      <c r="V14" s="905"/>
      <c r="W14" s="905"/>
      <c r="X14" s="905"/>
      <c r="Y14" s="905"/>
      <c r="Z14" s="905"/>
      <c r="AA14" s="905"/>
      <c r="AB14" s="905"/>
      <c r="AC14" s="905"/>
      <c r="AD14" s="905"/>
      <c r="AE14" s="905"/>
      <c r="AF14" s="897"/>
      <c r="AG14" s="897"/>
      <c r="AH14" s="869"/>
      <c r="AI14" s="869"/>
      <c r="AJ14" s="869"/>
      <c r="AK14" s="906"/>
      <c r="AL14" s="872"/>
      <c r="AM14" s="910"/>
      <c r="AN14" s="910"/>
      <c r="AO14" s="906"/>
      <c r="AP14" s="872"/>
      <c r="AQ14" s="904"/>
      <c r="AR14" s="904"/>
      <c r="AS14" s="904"/>
      <c r="AT14" s="898"/>
      <c r="AU14" s="902"/>
      <c r="AV14" s="902"/>
      <c r="AW14" s="911"/>
      <c r="AX14" s="873"/>
    </row>
    <row r="15" spans="2:50" ht="50.1" customHeight="1" x14ac:dyDescent="0.25">
      <c r="B15" s="931" t="s">
        <v>1992</v>
      </c>
      <c r="C15" s="2106" t="s">
        <v>1993</v>
      </c>
      <c r="D15" s="845" t="s">
        <v>1994</v>
      </c>
      <c r="E15" s="901"/>
      <c r="F15" s="902"/>
      <c r="G15" s="902"/>
      <c r="H15" s="902"/>
      <c r="I15" s="904"/>
      <c r="J15" s="902"/>
      <c r="K15" s="902"/>
      <c r="L15" s="902"/>
      <c r="M15" s="902"/>
      <c r="N15" s="902"/>
      <c r="O15" s="902"/>
      <c r="P15" s="905"/>
      <c r="Q15" s="909"/>
      <c r="R15" s="909"/>
      <c r="S15" s="909"/>
      <c r="T15" s="909"/>
      <c r="U15" s="905"/>
      <c r="V15" s="905"/>
      <c r="W15" s="905"/>
      <c r="X15" s="905"/>
      <c r="Y15" s="905"/>
      <c r="Z15" s="905"/>
      <c r="AA15" s="905"/>
      <c r="AB15" s="905"/>
      <c r="AC15" s="905"/>
      <c r="AD15" s="905"/>
      <c r="AE15" s="905"/>
      <c r="AF15" s="897"/>
      <c r="AG15" s="897"/>
      <c r="AH15" s="869"/>
      <c r="AI15" s="869"/>
      <c r="AJ15" s="869"/>
      <c r="AK15" s="906"/>
      <c r="AL15" s="872"/>
      <c r="AM15" s="910"/>
      <c r="AN15" s="910"/>
      <c r="AO15" s="906"/>
      <c r="AP15" s="872"/>
      <c r="AQ15" s="904"/>
      <c r="AR15" s="904"/>
      <c r="AS15" s="904"/>
      <c r="AT15" s="898"/>
      <c r="AU15" s="902"/>
      <c r="AV15" s="902"/>
      <c r="AW15" s="911"/>
      <c r="AX15" s="873"/>
    </row>
    <row r="16" spans="2:50" ht="50.1" customHeight="1" x14ac:dyDescent="0.25">
      <c r="B16" s="931" t="s">
        <v>1995</v>
      </c>
      <c r="C16" s="2106"/>
      <c r="D16" s="845" t="s">
        <v>1996</v>
      </c>
      <c r="E16" s="901"/>
      <c r="F16" s="902"/>
      <c r="G16" s="902"/>
      <c r="H16" s="902"/>
      <c r="I16" s="904"/>
      <c r="J16" s="902"/>
      <c r="K16" s="902"/>
      <c r="L16" s="902"/>
      <c r="M16" s="902"/>
      <c r="N16" s="902"/>
      <c r="O16" s="902"/>
      <c r="P16" s="905"/>
      <c r="Q16" s="909"/>
      <c r="R16" s="909"/>
      <c r="S16" s="909"/>
      <c r="T16" s="909"/>
      <c r="U16" s="905"/>
      <c r="V16" s="905"/>
      <c r="W16" s="905"/>
      <c r="X16" s="905"/>
      <c r="Y16" s="905"/>
      <c r="Z16" s="905"/>
      <c r="AA16" s="905"/>
      <c r="AB16" s="905"/>
      <c r="AC16" s="905"/>
      <c r="AD16" s="905"/>
      <c r="AE16" s="905"/>
      <c r="AF16" s="897"/>
      <c r="AG16" s="897"/>
      <c r="AH16" s="869"/>
      <c r="AI16" s="869"/>
      <c r="AJ16" s="869"/>
      <c r="AK16" s="906"/>
      <c r="AL16" s="872"/>
      <c r="AM16" s="910"/>
      <c r="AN16" s="910"/>
      <c r="AO16" s="906"/>
      <c r="AP16" s="872"/>
      <c r="AQ16" s="904"/>
      <c r="AR16" s="904"/>
      <c r="AS16" s="904"/>
      <c r="AT16" s="898"/>
      <c r="AU16" s="902"/>
      <c r="AV16" s="902"/>
      <c r="AW16" s="911"/>
      <c r="AX16" s="873"/>
    </row>
    <row r="17" spans="2:50" ht="50.1" customHeight="1" x14ac:dyDescent="0.25">
      <c r="B17" s="931" t="s">
        <v>1997</v>
      </c>
      <c r="C17" s="2105" t="s">
        <v>1998</v>
      </c>
      <c r="D17" s="2105"/>
      <c r="E17" s="901"/>
      <c r="F17" s="902"/>
      <c r="G17" s="902"/>
      <c r="H17" s="902"/>
      <c r="I17" s="904"/>
      <c r="J17" s="905"/>
      <c r="K17" s="905"/>
      <c r="L17" s="905"/>
      <c r="M17" s="905"/>
      <c r="N17" s="905"/>
      <c r="O17" s="905"/>
      <c r="P17" s="905"/>
      <c r="Q17" s="905"/>
      <c r="R17" s="905"/>
      <c r="S17" s="905"/>
      <c r="T17" s="905"/>
      <c r="U17" s="905"/>
      <c r="V17" s="905"/>
      <c r="W17" s="905"/>
      <c r="X17" s="905"/>
      <c r="Y17" s="905"/>
      <c r="Z17" s="905"/>
      <c r="AA17" s="905"/>
      <c r="AB17" s="905"/>
      <c r="AC17" s="905"/>
      <c r="AD17" s="905"/>
      <c r="AE17" s="905"/>
      <c r="AF17" s="897"/>
      <c r="AG17" s="897"/>
      <c r="AH17" s="897"/>
      <c r="AI17" s="905"/>
      <c r="AJ17" s="905"/>
      <c r="AK17" s="905"/>
      <c r="AL17" s="905"/>
      <c r="AM17" s="905"/>
      <c r="AN17" s="905"/>
      <c r="AO17" s="905"/>
      <c r="AP17" s="905"/>
      <c r="AQ17" s="904"/>
      <c r="AR17" s="904"/>
      <c r="AS17" s="904"/>
      <c r="AT17" s="898"/>
      <c r="AU17" s="905"/>
      <c r="AV17" s="905"/>
      <c r="AW17" s="907"/>
      <c r="AX17" s="873"/>
    </row>
    <row r="18" spans="2:50" ht="50.1" customHeight="1" x14ac:dyDescent="0.25">
      <c r="B18" s="931" t="s">
        <v>1999</v>
      </c>
      <c r="C18" s="2106" t="s">
        <v>2000</v>
      </c>
      <c r="D18" s="845" t="s">
        <v>2001</v>
      </c>
      <c r="E18" s="901"/>
      <c r="F18" s="902"/>
      <c r="G18" s="902"/>
      <c r="H18" s="902"/>
      <c r="I18" s="904"/>
      <c r="J18" s="902"/>
      <c r="K18" s="902"/>
      <c r="L18" s="902"/>
      <c r="M18" s="902"/>
      <c r="N18" s="902"/>
      <c r="O18" s="902"/>
      <c r="P18" s="905"/>
      <c r="Q18" s="902"/>
      <c r="R18" s="902"/>
      <c r="S18" s="902"/>
      <c r="T18" s="902"/>
      <c r="U18" s="905"/>
      <c r="V18" s="905"/>
      <c r="W18" s="905"/>
      <c r="X18" s="905"/>
      <c r="Y18" s="905"/>
      <c r="Z18" s="905"/>
      <c r="AA18" s="905"/>
      <c r="AB18" s="905"/>
      <c r="AC18" s="905"/>
      <c r="AD18" s="905"/>
      <c r="AE18" s="905"/>
      <c r="AF18" s="897"/>
      <c r="AG18" s="897"/>
      <c r="AH18" s="869"/>
      <c r="AI18" s="869"/>
      <c r="AJ18" s="869"/>
      <c r="AK18" s="906"/>
      <c r="AL18" s="872"/>
      <c r="AM18" s="912"/>
      <c r="AN18" s="912"/>
      <c r="AO18" s="906"/>
      <c r="AP18" s="872"/>
      <c r="AQ18" s="904"/>
      <c r="AR18" s="904"/>
      <c r="AS18" s="904"/>
      <c r="AT18" s="898"/>
      <c r="AU18" s="902"/>
      <c r="AV18" s="902"/>
      <c r="AW18" s="911"/>
      <c r="AX18" s="873"/>
    </row>
    <row r="19" spans="2:50" ht="50.1" customHeight="1" x14ac:dyDescent="0.25">
      <c r="B19" s="931" t="s">
        <v>2002</v>
      </c>
      <c r="C19" s="2106"/>
      <c r="D19" s="845" t="s">
        <v>2003</v>
      </c>
      <c r="E19" s="901"/>
      <c r="F19" s="902"/>
      <c r="G19" s="902"/>
      <c r="H19" s="902"/>
      <c r="I19" s="904"/>
      <c r="J19" s="902"/>
      <c r="K19" s="902"/>
      <c r="L19" s="902"/>
      <c r="M19" s="902"/>
      <c r="N19" s="902"/>
      <c r="O19" s="902"/>
      <c r="P19" s="905"/>
      <c r="Q19" s="902"/>
      <c r="R19" s="902"/>
      <c r="S19" s="902"/>
      <c r="T19" s="902"/>
      <c r="U19" s="905"/>
      <c r="V19" s="905"/>
      <c r="W19" s="905"/>
      <c r="X19" s="905"/>
      <c r="Y19" s="905"/>
      <c r="Z19" s="905"/>
      <c r="AA19" s="905"/>
      <c r="AB19" s="905"/>
      <c r="AC19" s="905"/>
      <c r="AD19" s="905"/>
      <c r="AE19" s="905"/>
      <c r="AF19" s="897"/>
      <c r="AG19" s="897"/>
      <c r="AH19" s="869"/>
      <c r="AI19" s="869"/>
      <c r="AJ19" s="869"/>
      <c r="AK19" s="906"/>
      <c r="AL19" s="872"/>
      <c r="AM19" s="912"/>
      <c r="AN19" s="912"/>
      <c r="AO19" s="906"/>
      <c r="AP19" s="872"/>
      <c r="AQ19" s="904"/>
      <c r="AR19" s="904"/>
      <c r="AS19" s="904"/>
      <c r="AT19" s="898"/>
      <c r="AU19" s="902"/>
      <c r="AV19" s="902"/>
      <c r="AW19" s="911"/>
      <c r="AX19" s="873"/>
    </row>
    <row r="20" spans="2:50" ht="50.1" customHeight="1" x14ac:dyDescent="0.25">
      <c r="B20" s="931" t="s">
        <v>2004</v>
      </c>
      <c r="C20" s="2106"/>
      <c r="D20" s="845" t="s">
        <v>2005</v>
      </c>
      <c r="E20" s="901"/>
      <c r="F20" s="902"/>
      <c r="G20" s="902"/>
      <c r="H20" s="902"/>
      <c r="I20" s="904"/>
      <c r="J20" s="902"/>
      <c r="K20" s="902"/>
      <c r="L20" s="902"/>
      <c r="M20" s="902"/>
      <c r="N20" s="902"/>
      <c r="O20" s="902"/>
      <c r="P20" s="905"/>
      <c r="Q20" s="902"/>
      <c r="R20" s="902"/>
      <c r="S20" s="902"/>
      <c r="T20" s="902"/>
      <c r="U20" s="905"/>
      <c r="V20" s="905"/>
      <c r="W20" s="905"/>
      <c r="X20" s="905"/>
      <c r="Y20" s="905"/>
      <c r="Z20" s="905"/>
      <c r="AA20" s="905"/>
      <c r="AB20" s="905"/>
      <c r="AC20" s="905"/>
      <c r="AD20" s="905"/>
      <c r="AE20" s="905"/>
      <c r="AF20" s="897"/>
      <c r="AG20" s="897"/>
      <c r="AH20" s="869"/>
      <c r="AI20" s="869"/>
      <c r="AJ20" s="869"/>
      <c r="AK20" s="906"/>
      <c r="AL20" s="872"/>
      <c r="AM20" s="912"/>
      <c r="AN20" s="912"/>
      <c r="AO20" s="906"/>
      <c r="AP20" s="872"/>
      <c r="AQ20" s="904"/>
      <c r="AR20" s="904"/>
      <c r="AS20" s="904"/>
      <c r="AT20" s="898"/>
      <c r="AU20" s="902"/>
      <c r="AV20" s="902"/>
      <c r="AW20" s="911"/>
      <c r="AX20" s="873"/>
    </row>
    <row r="21" spans="2:50" ht="50.1" customHeight="1" x14ac:dyDescent="0.25">
      <c r="B21" s="931" t="s">
        <v>2006</v>
      </c>
      <c r="C21" s="2106" t="s">
        <v>2007</v>
      </c>
      <c r="D21" s="845" t="s">
        <v>2008</v>
      </c>
      <c r="E21" s="901"/>
      <c r="F21" s="902"/>
      <c r="G21" s="902"/>
      <c r="H21" s="902"/>
      <c r="I21" s="904"/>
      <c r="J21" s="902"/>
      <c r="K21" s="902"/>
      <c r="L21" s="902"/>
      <c r="M21" s="902"/>
      <c r="N21" s="902"/>
      <c r="O21" s="902"/>
      <c r="P21" s="905"/>
      <c r="Q21" s="902"/>
      <c r="R21" s="902"/>
      <c r="S21" s="902"/>
      <c r="T21" s="902"/>
      <c r="U21" s="905"/>
      <c r="V21" s="905"/>
      <c r="W21" s="905"/>
      <c r="X21" s="905"/>
      <c r="Y21" s="905"/>
      <c r="Z21" s="905"/>
      <c r="AA21" s="905"/>
      <c r="AB21" s="905"/>
      <c r="AC21" s="905"/>
      <c r="AD21" s="905"/>
      <c r="AE21" s="905"/>
      <c r="AF21" s="897"/>
      <c r="AG21" s="897"/>
      <c r="AH21" s="869"/>
      <c r="AI21" s="869"/>
      <c r="AJ21" s="869"/>
      <c r="AK21" s="906"/>
      <c r="AL21" s="872"/>
      <c r="AM21" s="912"/>
      <c r="AN21" s="912"/>
      <c r="AO21" s="906"/>
      <c r="AP21" s="872"/>
      <c r="AQ21" s="904"/>
      <c r="AR21" s="904"/>
      <c r="AS21" s="904"/>
      <c r="AT21" s="898"/>
      <c r="AU21" s="902"/>
      <c r="AV21" s="902"/>
      <c r="AW21" s="911"/>
      <c r="AX21" s="873"/>
    </row>
    <row r="22" spans="2:50" ht="50.1" customHeight="1" x14ac:dyDescent="0.25">
      <c r="B22" s="930" t="s">
        <v>2009</v>
      </c>
      <c r="C22" s="2106"/>
      <c r="D22" s="845" t="s">
        <v>2010</v>
      </c>
      <c r="E22" s="901"/>
      <c r="F22" s="902"/>
      <c r="G22" s="902"/>
      <c r="H22" s="902"/>
      <c r="I22" s="904"/>
      <c r="J22" s="902"/>
      <c r="K22" s="902"/>
      <c r="L22" s="902"/>
      <c r="M22" s="902"/>
      <c r="N22" s="902"/>
      <c r="O22" s="902"/>
      <c r="P22" s="905"/>
      <c r="Q22" s="902"/>
      <c r="R22" s="902"/>
      <c r="S22" s="902"/>
      <c r="T22" s="902"/>
      <c r="U22" s="905"/>
      <c r="V22" s="905"/>
      <c r="W22" s="905"/>
      <c r="X22" s="905"/>
      <c r="Y22" s="905"/>
      <c r="Z22" s="905"/>
      <c r="AA22" s="905"/>
      <c r="AB22" s="905"/>
      <c r="AC22" s="905"/>
      <c r="AD22" s="905"/>
      <c r="AE22" s="905"/>
      <c r="AF22" s="897"/>
      <c r="AG22" s="897"/>
      <c r="AH22" s="869"/>
      <c r="AI22" s="869"/>
      <c r="AJ22" s="869"/>
      <c r="AK22" s="906"/>
      <c r="AL22" s="872"/>
      <c r="AM22" s="912"/>
      <c r="AN22" s="912"/>
      <c r="AO22" s="906"/>
      <c r="AP22" s="872"/>
      <c r="AQ22" s="904"/>
      <c r="AR22" s="904"/>
      <c r="AS22" s="904"/>
      <c r="AT22" s="898"/>
      <c r="AU22" s="902"/>
      <c r="AV22" s="902"/>
      <c r="AW22" s="911"/>
      <c r="AX22" s="873"/>
    </row>
    <row r="23" spans="2:50" ht="50.1" customHeight="1" x14ac:dyDescent="0.25">
      <c r="B23" s="930" t="s">
        <v>2011</v>
      </c>
      <c r="C23" s="2105" t="s">
        <v>2012</v>
      </c>
      <c r="D23" s="2105"/>
      <c r="E23" s="913"/>
      <c r="F23" s="907"/>
      <c r="G23" s="907"/>
      <c r="H23" s="907"/>
      <c r="I23" s="904"/>
      <c r="J23" s="905"/>
      <c r="K23" s="905"/>
      <c r="L23" s="905"/>
      <c r="M23" s="905"/>
      <c r="N23" s="905"/>
      <c r="O23" s="905"/>
      <c r="P23" s="905"/>
      <c r="Q23" s="905"/>
      <c r="R23" s="905"/>
      <c r="S23" s="905"/>
      <c r="T23" s="905"/>
      <c r="U23" s="905"/>
      <c r="V23" s="907"/>
      <c r="W23" s="905"/>
      <c r="X23" s="907"/>
      <c r="Y23" s="907"/>
      <c r="Z23" s="907"/>
      <c r="AA23" s="907"/>
      <c r="AB23" s="907"/>
      <c r="AC23" s="907"/>
      <c r="AD23" s="907"/>
      <c r="AE23" s="907"/>
      <c r="AF23" s="907"/>
      <c r="AG23" s="907"/>
      <c r="AH23" s="907"/>
      <c r="AI23" s="907"/>
      <c r="AJ23" s="907"/>
      <c r="AK23" s="907"/>
      <c r="AL23" s="907"/>
      <c r="AM23" s="905"/>
      <c r="AN23" s="905"/>
      <c r="AO23" s="907"/>
      <c r="AP23" s="907"/>
      <c r="AQ23" s="904"/>
      <c r="AR23" s="904"/>
      <c r="AS23" s="904"/>
      <c r="AT23" s="898"/>
      <c r="AU23" s="905"/>
      <c r="AV23" s="905"/>
      <c r="AW23" s="907"/>
      <c r="AX23" s="873"/>
    </row>
    <row r="24" spans="2:50" ht="50.1" customHeight="1" x14ac:dyDescent="0.2">
      <c r="B24" s="932" t="s">
        <v>2013</v>
      </c>
      <c r="C24" s="2112" t="s">
        <v>2014</v>
      </c>
      <c r="D24" s="2112"/>
      <c r="E24" s="913"/>
      <c r="F24" s="907"/>
      <c r="G24" s="907"/>
      <c r="H24" s="907"/>
      <c r="I24" s="904"/>
      <c r="J24" s="905"/>
      <c r="K24" s="905"/>
      <c r="L24" s="905"/>
      <c r="M24" s="905"/>
      <c r="N24" s="905"/>
      <c r="O24" s="905"/>
      <c r="P24" s="905"/>
      <c r="Q24" s="904"/>
      <c r="R24" s="904"/>
      <c r="S24" s="904"/>
      <c r="T24" s="904"/>
      <c r="U24" s="905"/>
      <c r="V24" s="905"/>
      <c r="W24" s="905"/>
      <c r="X24" s="905"/>
      <c r="Y24" s="905"/>
      <c r="Z24" s="905"/>
      <c r="AA24" s="905"/>
      <c r="AB24" s="905"/>
      <c r="AC24" s="905"/>
      <c r="AD24" s="905"/>
      <c r="AE24" s="905"/>
      <c r="AF24" s="897"/>
      <c r="AG24" s="897"/>
      <c r="AH24" s="897"/>
      <c r="AI24" s="905"/>
      <c r="AJ24" s="905"/>
      <c r="AK24" s="905"/>
      <c r="AL24" s="905"/>
      <c r="AM24" s="905"/>
      <c r="AN24" s="905"/>
      <c r="AO24" s="905"/>
      <c r="AP24" s="905"/>
      <c r="AQ24" s="904"/>
      <c r="AR24" s="904"/>
      <c r="AS24" s="904"/>
      <c r="AT24" s="898"/>
      <c r="AU24" s="905"/>
      <c r="AV24" s="905"/>
      <c r="AW24" s="907"/>
      <c r="AX24" s="873"/>
    </row>
    <row r="25" spans="2:50" ht="50.1" customHeight="1" x14ac:dyDescent="0.25">
      <c r="B25" s="931" t="s">
        <v>2015</v>
      </c>
      <c r="C25" s="2105" t="s">
        <v>2016</v>
      </c>
      <c r="D25" s="2105"/>
      <c r="E25" s="913"/>
      <c r="F25" s="907"/>
      <c r="G25" s="907"/>
      <c r="H25" s="907"/>
      <c r="I25" s="904"/>
      <c r="J25" s="905"/>
      <c r="K25" s="905"/>
      <c r="L25" s="905"/>
      <c r="M25" s="905"/>
      <c r="N25" s="905"/>
      <c r="O25" s="905"/>
      <c r="P25" s="905"/>
      <c r="Q25" s="907"/>
      <c r="R25" s="907"/>
      <c r="S25" s="907"/>
      <c r="T25" s="907"/>
      <c r="U25" s="905"/>
      <c r="V25" s="905"/>
      <c r="W25" s="905"/>
      <c r="X25" s="905"/>
      <c r="Y25" s="905"/>
      <c r="Z25" s="905"/>
      <c r="AA25" s="905"/>
      <c r="AB25" s="905"/>
      <c r="AC25" s="905"/>
      <c r="AD25" s="905"/>
      <c r="AE25" s="905"/>
      <c r="AF25" s="897"/>
      <c r="AG25" s="897"/>
      <c r="AH25" s="869"/>
      <c r="AI25" s="869"/>
      <c r="AJ25" s="869"/>
      <c r="AK25" s="906"/>
      <c r="AL25" s="872"/>
      <c r="AM25" s="914"/>
      <c r="AN25" s="914"/>
      <c r="AO25" s="906"/>
      <c r="AP25" s="872"/>
      <c r="AQ25" s="904"/>
      <c r="AR25" s="904"/>
      <c r="AS25" s="904"/>
      <c r="AT25" s="898"/>
      <c r="AU25" s="905"/>
      <c r="AV25" s="905"/>
      <c r="AW25" s="907"/>
      <c r="AX25" s="873"/>
    </row>
    <row r="26" spans="2:50" ht="50.1" customHeight="1" x14ac:dyDescent="0.25">
      <c r="B26" s="931" t="s">
        <v>2017</v>
      </c>
      <c r="C26" s="2106" t="s">
        <v>2018</v>
      </c>
      <c r="D26" s="845" t="s">
        <v>2019</v>
      </c>
      <c r="E26" s="913"/>
      <c r="F26" s="907"/>
      <c r="G26" s="907"/>
      <c r="H26" s="907"/>
      <c r="I26" s="904"/>
      <c r="J26" s="902"/>
      <c r="K26" s="902"/>
      <c r="L26" s="902"/>
      <c r="M26" s="902"/>
      <c r="N26" s="902"/>
      <c r="O26" s="902"/>
      <c r="P26" s="905"/>
      <c r="Q26" s="909"/>
      <c r="R26" s="909"/>
      <c r="S26" s="909"/>
      <c r="T26" s="909"/>
      <c r="U26" s="905"/>
      <c r="V26" s="905"/>
      <c r="W26" s="905"/>
      <c r="X26" s="905"/>
      <c r="Y26" s="905"/>
      <c r="Z26" s="905"/>
      <c r="AA26" s="905"/>
      <c r="AB26" s="905"/>
      <c r="AC26" s="905"/>
      <c r="AD26" s="905"/>
      <c r="AE26" s="905"/>
      <c r="AF26" s="897"/>
      <c r="AG26" s="897"/>
      <c r="AH26" s="869"/>
      <c r="AI26" s="869"/>
      <c r="AJ26" s="869"/>
      <c r="AK26" s="906"/>
      <c r="AL26" s="872"/>
      <c r="AM26" s="912"/>
      <c r="AN26" s="912"/>
      <c r="AO26" s="906"/>
      <c r="AP26" s="872"/>
      <c r="AQ26" s="904"/>
      <c r="AR26" s="904"/>
      <c r="AS26" s="904"/>
      <c r="AT26" s="898"/>
      <c r="AU26" s="902"/>
      <c r="AV26" s="902"/>
      <c r="AW26" s="911"/>
      <c r="AX26" s="873"/>
    </row>
    <row r="27" spans="2:50" ht="50.1" customHeight="1" x14ac:dyDescent="0.25">
      <c r="B27" s="931" t="s">
        <v>2020</v>
      </c>
      <c r="C27" s="2106"/>
      <c r="D27" s="845" t="s">
        <v>2021</v>
      </c>
      <c r="E27" s="913"/>
      <c r="F27" s="907"/>
      <c r="G27" s="907"/>
      <c r="H27" s="907"/>
      <c r="I27" s="904"/>
      <c r="J27" s="902"/>
      <c r="K27" s="902"/>
      <c r="L27" s="902"/>
      <c r="M27" s="902"/>
      <c r="N27" s="902"/>
      <c r="O27" s="902"/>
      <c r="P27" s="905"/>
      <c r="Q27" s="909"/>
      <c r="R27" s="909"/>
      <c r="S27" s="909"/>
      <c r="T27" s="909"/>
      <c r="U27" s="905"/>
      <c r="V27" s="905"/>
      <c r="W27" s="905"/>
      <c r="X27" s="905"/>
      <c r="Y27" s="905"/>
      <c r="Z27" s="905"/>
      <c r="AA27" s="905"/>
      <c r="AB27" s="905"/>
      <c r="AC27" s="905"/>
      <c r="AD27" s="905"/>
      <c r="AE27" s="905"/>
      <c r="AF27" s="897"/>
      <c r="AG27" s="897"/>
      <c r="AH27" s="869"/>
      <c r="AI27" s="869"/>
      <c r="AJ27" s="869"/>
      <c r="AK27" s="906"/>
      <c r="AL27" s="872"/>
      <c r="AM27" s="912"/>
      <c r="AN27" s="912"/>
      <c r="AO27" s="906"/>
      <c r="AP27" s="872"/>
      <c r="AQ27" s="904"/>
      <c r="AR27" s="904"/>
      <c r="AS27" s="904"/>
      <c r="AT27" s="898"/>
      <c r="AU27" s="902"/>
      <c r="AV27" s="902"/>
      <c r="AW27" s="911"/>
      <c r="AX27" s="873"/>
    </row>
    <row r="28" spans="2:50" ht="50.1" customHeight="1" x14ac:dyDescent="0.25">
      <c r="B28" s="931" t="s">
        <v>2022</v>
      </c>
      <c r="C28" s="2106"/>
      <c r="D28" s="845" t="s">
        <v>2023</v>
      </c>
      <c r="E28" s="913"/>
      <c r="F28" s="907"/>
      <c r="G28" s="907"/>
      <c r="H28" s="907"/>
      <c r="I28" s="904"/>
      <c r="J28" s="902"/>
      <c r="K28" s="902"/>
      <c r="L28" s="902"/>
      <c r="M28" s="902"/>
      <c r="N28" s="902"/>
      <c r="O28" s="902"/>
      <c r="P28" s="905"/>
      <c r="Q28" s="909"/>
      <c r="R28" s="909"/>
      <c r="S28" s="909"/>
      <c r="T28" s="909"/>
      <c r="U28" s="905"/>
      <c r="V28" s="905"/>
      <c r="W28" s="905"/>
      <c r="X28" s="905"/>
      <c r="Y28" s="905"/>
      <c r="Z28" s="905"/>
      <c r="AA28" s="905"/>
      <c r="AB28" s="905"/>
      <c r="AC28" s="905"/>
      <c r="AD28" s="905"/>
      <c r="AE28" s="905"/>
      <c r="AF28" s="897"/>
      <c r="AG28" s="897"/>
      <c r="AH28" s="869"/>
      <c r="AI28" s="869"/>
      <c r="AJ28" s="869"/>
      <c r="AK28" s="906"/>
      <c r="AL28" s="872"/>
      <c r="AM28" s="912"/>
      <c r="AN28" s="912"/>
      <c r="AO28" s="906"/>
      <c r="AP28" s="872"/>
      <c r="AQ28" s="904"/>
      <c r="AR28" s="904"/>
      <c r="AS28" s="904"/>
      <c r="AT28" s="898"/>
      <c r="AU28" s="902"/>
      <c r="AV28" s="902"/>
      <c r="AW28" s="911"/>
      <c r="AX28" s="873"/>
    </row>
    <row r="29" spans="2:50" ht="50.1" customHeight="1" x14ac:dyDescent="0.25">
      <c r="B29" s="931" t="s">
        <v>2024</v>
      </c>
      <c r="C29" s="2106" t="s">
        <v>2025</v>
      </c>
      <c r="D29" s="845" t="s">
        <v>2026</v>
      </c>
      <c r="E29" s="913"/>
      <c r="F29" s="907"/>
      <c r="G29" s="907"/>
      <c r="H29" s="907"/>
      <c r="I29" s="904"/>
      <c r="J29" s="902"/>
      <c r="K29" s="902"/>
      <c r="L29" s="902"/>
      <c r="M29" s="902"/>
      <c r="N29" s="902"/>
      <c r="O29" s="902"/>
      <c r="P29" s="905"/>
      <c r="Q29" s="909"/>
      <c r="R29" s="909"/>
      <c r="S29" s="909"/>
      <c r="T29" s="909"/>
      <c r="U29" s="905"/>
      <c r="V29" s="905"/>
      <c r="W29" s="905"/>
      <c r="X29" s="905"/>
      <c r="Y29" s="905"/>
      <c r="Z29" s="905"/>
      <c r="AA29" s="905"/>
      <c r="AB29" s="905"/>
      <c r="AC29" s="905"/>
      <c r="AD29" s="905"/>
      <c r="AE29" s="905"/>
      <c r="AF29" s="897"/>
      <c r="AG29" s="897"/>
      <c r="AH29" s="869"/>
      <c r="AI29" s="869"/>
      <c r="AJ29" s="869"/>
      <c r="AK29" s="906"/>
      <c r="AL29" s="872"/>
      <c r="AM29" s="912"/>
      <c r="AN29" s="912"/>
      <c r="AO29" s="906"/>
      <c r="AP29" s="872"/>
      <c r="AQ29" s="904"/>
      <c r="AR29" s="904"/>
      <c r="AS29" s="904"/>
      <c r="AT29" s="898"/>
      <c r="AU29" s="902"/>
      <c r="AV29" s="902"/>
      <c r="AW29" s="911"/>
      <c r="AX29" s="873"/>
    </row>
    <row r="30" spans="2:50" ht="50.1" customHeight="1" x14ac:dyDescent="0.25">
      <c r="B30" s="930" t="s">
        <v>2027</v>
      </c>
      <c r="C30" s="2106"/>
      <c r="D30" s="845" t="s">
        <v>2028</v>
      </c>
      <c r="E30" s="913"/>
      <c r="F30" s="907"/>
      <c r="G30" s="907"/>
      <c r="H30" s="907"/>
      <c r="I30" s="904"/>
      <c r="J30" s="902"/>
      <c r="K30" s="902"/>
      <c r="L30" s="902"/>
      <c r="M30" s="902"/>
      <c r="N30" s="902"/>
      <c r="O30" s="902"/>
      <c r="P30" s="905"/>
      <c r="Q30" s="909"/>
      <c r="R30" s="909"/>
      <c r="S30" s="909"/>
      <c r="T30" s="909"/>
      <c r="U30" s="905"/>
      <c r="V30" s="905"/>
      <c r="W30" s="905"/>
      <c r="X30" s="905"/>
      <c r="Y30" s="905"/>
      <c r="Z30" s="905"/>
      <c r="AA30" s="905"/>
      <c r="AB30" s="905"/>
      <c r="AC30" s="905"/>
      <c r="AD30" s="905"/>
      <c r="AE30" s="905"/>
      <c r="AF30" s="897"/>
      <c r="AG30" s="897"/>
      <c r="AH30" s="869"/>
      <c r="AI30" s="869"/>
      <c r="AJ30" s="869"/>
      <c r="AK30" s="906"/>
      <c r="AL30" s="872"/>
      <c r="AM30" s="912"/>
      <c r="AN30" s="912"/>
      <c r="AO30" s="906"/>
      <c r="AP30" s="872"/>
      <c r="AQ30" s="904"/>
      <c r="AR30" s="904"/>
      <c r="AS30" s="904"/>
      <c r="AT30" s="898"/>
      <c r="AU30" s="902"/>
      <c r="AV30" s="902"/>
      <c r="AW30" s="911"/>
      <c r="AX30" s="873"/>
    </row>
    <row r="31" spans="2:50" ht="50.1" customHeight="1" x14ac:dyDescent="0.25">
      <c r="B31" s="931" t="s">
        <v>2029</v>
      </c>
      <c r="C31" s="2105" t="s">
        <v>2030</v>
      </c>
      <c r="D31" s="2105"/>
      <c r="E31" s="913"/>
      <c r="F31" s="907"/>
      <c r="G31" s="907"/>
      <c r="H31" s="907"/>
      <c r="I31" s="904"/>
      <c r="J31" s="905"/>
      <c r="K31" s="905"/>
      <c r="L31" s="905"/>
      <c r="M31" s="905"/>
      <c r="N31" s="905"/>
      <c r="O31" s="905"/>
      <c r="P31" s="905"/>
      <c r="Q31" s="905"/>
      <c r="R31" s="905"/>
      <c r="S31" s="905"/>
      <c r="T31" s="905"/>
      <c r="U31" s="905"/>
      <c r="V31" s="905"/>
      <c r="W31" s="905"/>
      <c r="X31" s="905"/>
      <c r="Y31" s="905"/>
      <c r="Z31" s="905"/>
      <c r="AA31" s="905"/>
      <c r="AB31" s="905"/>
      <c r="AC31" s="905"/>
      <c r="AD31" s="905"/>
      <c r="AE31" s="905"/>
      <c r="AF31" s="897"/>
      <c r="AG31" s="897"/>
      <c r="AH31" s="897"/>
      <c r="AI31" s="905"/>
      <c r="AJ31" s="905"/>
      <c r="AK31" s="905"/>
      <c r="AL31" s="905"/>
      <c r="AM31" s="905"/>
      <c r="AN31" s="905"/>
      <c r="AO31" s="905"/>
      <c r="AP31" s="905"/>
      <c r="AQ31" s="904"/>
      <c r="AR31" s="904"/>
      <c r="AS31" s="904"/>
      <c r="AT31" s="898"/>
      <c r="AU31" s="905"/>
      <c r="AV31" s="905"/>
      <c r="AW31" s="907"/>
      <c r="AX31" s="873"/>
    </row>
    <row r="32" spans="2:50" ht="50.1" customHeight="1" x14ac:dyDescent="0.25">
      <c r="B32" s="931" t="s">
        <v>2031</v>
      </c>
      <c r="C32" s="2106" t="s">
        <v>2032</v>
      </c>
      <c r="D32" s="845" t="s">
        <v>2033</v>
      </c>
      <c r="E32" s="913"/>
      <c r="F32" s="907"/>
      <c r="G32" s="907"/>
      <c r="H32" s="907"/>
      <c r="I32" s="904"/>
      <c r="J32" s="902"/>
      <c r="K32" s="902"/>
      <c r="L32" s="902"/>
      <c r="M32" s="902"/>
      <c r="N32" s="902"/>
      <c r="O32" s="902"/>
      <c r="P32" s="905"/>
      <c r="Q32" s="902"/>
      <c r="R32" s="902"/>
      <c r="S32" s="902"/>
      <c r="T32" s="902"/>
      <c r="U32" s="905"/>
      <c r="V32" s="905"/>
      <c r="W32" s="905"/>
      <c r="X32" s="905"/>
      <c r="Y32" s="905"/>
      <c r="Z32" s="905"/>
      <c r="AA32" s="905"/>
      <c r="AB32" s="905"/>
      <c r="AC32" s="905"/>
      <c r="AD32" s="905"/>
      <c r="AE32" s="905"/>
      <c r="AF32" s="897"/>
      <c r="AG32" s="897"/>
      <c r="AH32" s="869"/>
      <c r="AI32" s="869"/>
      <c r="AJ32" s="869"/>
      <c r="AK32" s="906"/>
      <c r="AL32" s="872"/>
      <c r="AM32" s="912"/>
      <c r="AN32" s="912"/>
      <c r="AO32" s="906"/>
      <c r="AP32" s="872"/>
      <c r="AQ32" s="904"/>
      <c r="AR32" s="904"/>
      <c r="AS32" s="904"/>
      <c r="AT32" s="898"/>
      <c r="AU32" s="902"/>
      <c r="AV32" s="902"/>
      <c r="AW32" s="911"/>
      <c r="AX32" s="873"/>
    </row>
    <row r="33" spans="2:50" ht="50.1" customHeight="1" x14ac:dyDescent="0.25">
      <c r="B33" s="931" t="s">
        <v>2034</v>
      </c>
      <c r="C33" s="2106"/>
      <c r="D33" s="845" t="s">
        <v>2035</v>
      </c>
      <c r="E33" s="913"/>
      <c r="F33" s="907"/>
      <c r="G33" s="907"/>
      <c r="H33" s="907"/>
      <c r="I33" s="904"/>
      <c r="J33" s="902"/>
      <c r="K33" s="902"/>
      <c r="L33" s="902"/>
      <c r="M33" s="902"/>
      <c r="N33" s="902"/>
      <c r="O33" s="902"/>
      <c r="P33" s="905"/>
      <c r="Q33" s="902"/>
      <c r="R33" s="902"/>
      <c r="S33" s="902"/>
      <c r="T33" s="902"/>
      <c r="U33" s="905"/>
      <c r="V33" s="905"/>
      <c r="W33" s="905"/>
      <c r="X33" s="905"/>
      <c r="Y33" s="905"/>
      <c r="Z33" s="905"/>
      <c r="AA33" s="905"/>
      <c r="AB33" s="905"/>
      <c r="AC33" s="905"/>
      <c r="AD33" s="905"/>
      <c r="AE33" s="905"/>
      <c r="AF33" s="897"/>
      <c r="AG33" s="897"/>
      <c r="AH33" s="869"/>
      <c r="AI33" s="869"/>
      <c r="AJ33" s="869"/>
      <c r="AK33" s="906"/>
      <c r="AL33" s="872"/>
      <c r="AM33" s="912"/>
      <c r="AN33" s="912"/>
      <c r="AO33" s="906"/>
      <c r="AP33" s="872"/>
      <c r="AQ33" s="904"/>
      <c r="AR33" s="904"/>
      <c r="AS33" s="904"/>
      <c r="AT33" s="898"/>
      <c r="AU33" s="902"/>
      <c r="AV33" s="902"/>
      <c r="AW33" s="911"/>
      <c r="AX33" s="873"/>
    </row>
    <row r="34" spans="2:50" ht="50.1" customHeight="1" x14ac:dyDescent="0.25">
      <c r="B34" s="931" t="s">
        <v>2036</v>
      </c>
      <c r="C34" s="2106"/>
      <c r="D34" s="845" t="s">
        <v>2037</v>
      </c>
      <c r="E34" s="913"/>
      <c r="F34" s="907"/>
      <c r="G34" s="907"/>
      <c r="H34" s="907"/>
      <c r="I34" s="904"/>
      <c r="J34" s="902"/>
      <c r="K34" s="902"/>
      <c r="L34" s="902"/>
      <c r="M34" s="902"/>
      <c r="N34" s="902"/>
      <c r="O34" s="902"/>
      <c r="P34" s="905"/>
      <c r="Q34" s="902"/>
      <c r="R34" s="902"/>
      <c r="S34" s="902"/>
      <c r="T34" s="902"/>
      <c r="U34" s="905"/>
      <c r="V34" s="905"/>
      <c r="W34" s="905"/>
      <c r="X34" s="905"/>
      <c r="Y34" s="905"/>
      <c r="Z34" s="905"/>
      <c r="AA34" s="905"/>
      <c r="AB34" s="905"/>
      <c r="AC34" s="905"/>
      <c r="AD34" s="905"/>
      <c r="AE34" s="905"/>
      <c r="AF34" s="897"/>
      <c r="AG34" s="897"/>
      <c r="AH34" s="869"/>
      <c r="AI34" s="869"/>
      <c r="AJ34" s="869"/>
      <c r="AK34" s="906"/>
      <c r="AL34" s="872"/>
      <c r="AM34" s="912"/>
      <c r="AN34" s="912"/>
      <c r="AO34" s="906"/>
      <c r="AP34" s="872"/>
      <c r="AQ34" s="904"/>
      <c r="AR34" s="904"/>
      <c r="AS34" s="904"/>
      <c r="AT34" s="898"/>
      <c r="AU34" s="902"/>
      <c r="AV34" s="902"/>
      <c r="AW34" s="911"/>
      <c r="AX34" s="873"/>
    </row>
    <row r="35" spans="2:50" ht="50.1" customHeight="1" x14ac:dyDescent="0.25">
      <c r="B35" s="931" t="s">
        <v>2038</v>
      </c>
      <c r="C35" s="2106" t="s">
        <v>2039</v>
      </c>
      <c r="D35" s="845" t="s">
        <v>2040</v>
      </c>
      <c r="E35" s="913"/>
      <c r="F35" s="907"/>
      <c r="G35" s="907"/>
      <c r="H35" s="907"/>
      <c r="I35" s="904"/>
      <c r="J35" s="902"/>
      <c r="K35" s="902"/>
      <c r="L35" s="902"/>
      <c r="M35" s="902"/>
      <c r="N35" s="902"/>
      <c r="O35" s="902"/>
      <c r="P35" s="905"/>
      <c r="Q35" s="902"/>
      <c r="R35" s="902"/>
      <c r="S35" s="902"/>
      <c r="T35" s="902"/>
      <c r="U35" s="905"/>
      <c r="V35" s="905"/>
      <c r="W35" s="905"/>
      <c r="X35" s="905"/>
      <c r="Y35" s="905"/>
      <c r="Z35" s="905"/>
      <c r="AA35" s="905"/>
      <c r="AB35" s="905"/>
      <c r="AC35" s="905"/>
      <c r="AD35" s="905"/>
      <c r="AE35" s="905"/>
      <c r="AF35" s="897"/>
      <c r="AG35" s="897"/>
      <c r="AH35" s="869"/>
      <c r="AI35" s="869"/>
      <c r="AJ35" s="869"/>
      <c r="AK35" s="906"/>
      <c r="AL35" s="872"/>
      <c r="AM35" s="912"/>
      <c r="AN35" s="912"/>
      <c r="AO35" s="906"/>
      <c r="AP35" s="872"/>
      <c r="AQ35" s="904"/>
      <c r="AR35" s="904"/>
      <c r="AS35" s="904"/>
      <c r="AT35" s="898"/>
      <c r="AU35" s="902"/>
      <c r="AV35" s="902"/>
      <c r="AW35" s="911"/>
      <c r="AX35" s="873"/>
    </row>
    <row r="36" spans="2:50" ht="50.1" customHeight="1" x14ac:dyDescent="0.25">
      <c r="B36" s="930" t="s">
        <v>2041</v>
      </c>
      <c r="C36" s="2106"/>
      <c r="D36" s="845" t="s">
        <v>2042</v>
      </c>
      <c r="E36" s="913"/>
      <c r="F36" s="907"/>
      <c r="G36" s="907"/>
      <c r="H36" s="907"/>
      <c r="I36" s="904"/>
      <c r="J36" s="902"/>
      <c r="K36" s="902"/>
      <c r="L36" s="902"/>
      <c r="M36" s="902"/>
      <c r="N36" s="902"/>
      <c r="O36" s="902"/>
      <c r="P36" s="905"/>
      <c r="Q36" s="902"/>
      <c r="R36" s="902"/>
      <c r="S36" s="902"/>
      <c r="T36" s="902"/>
      <c r="U36" s="905"/>
      <c r="V36" s="905"/>
      <c r="W36" s="905"/>
      <c r="X36" s="905"/>
      <c r="Y36" s="905"/>
      <c r="Z36" s="905"/>
      <c r="AA36" s="905"/>
      <c r="AB36" s="905"/>
      <c r="AC36" s="905"/>
      <c r="AD36" s="905"/>
      <c r="AE36" s="905"/>
      <c r="AF36" s="897"/>
      <c r="AG36" s="897"/>
      <c r="AH36" s="869"/>
      <c r="AI36" s="869"/>
      <c r="AJ36" s="869"/>
      <c r="AK36" s="906"/>
      <c r="AL36" s="872"/>
      <c r="AM36" s="912"/>
      <c r="AN36" s="912"/>
      <c r="AO36" s="906"/>
      <c r="AP36" s="872"/>
      <c r="AQ36" s="904"/>
      <c r="AR36" s="904"/>
      <c r="AS36" s="904"/>
      <c r="AT36" s="898"/>
      <c r="AU36" s="902"/>
      <c r="AV36" s="902"/>
      <c r="AW36" s="911"/>
      <c r="AX36" s="873"/>
    </row>
    <row r="37" spans="2:50" ht="50.1" customHeight="1" x14ac:dyDescent="0.25">
      <c r="B37" s="930" t="s">
        <v>2043</v>
      </c>
      <c r="C37" s="2112" t="s">
        <v>2044</v>
      </c>
      <c r="D37" s="2112"/>
      <c r="E37" s="913"/>
      <c r="F37" s="907"/>
      <c r="G37" s="907"/>
      <c r="H37" s="907"/>
      <c r="I37" s="904"/>
      <c r="J37" s="905"/>
      <c r="K37" s="905"/>
      <c r="L37" s="905"/>
      <c r="M37" s="905"/>
      <c r="N37" s="905"/>
      <c r="O37" s="905"/>
      <c r="P37" s="904"/>
      <c r="Q37" s="904"/>
      <c r="R37" s="904"/>
      <c r="S37" s="904"/>
      <c r="T37" s="904"/>
      <c r="U37" s="904"/>
      <c r="V37" s="915"/>
      <c r="W37" s="915"/>
      <c r="X37" s="905"/>
      <c r="Y37" s="905"/>
      <c r="Z37" s="905"/>
      <c r="AA37" s="905"/>
      <c r="AB37" s="905"/>
      <c r="AC37" s="905"/>
      <c r="AD37" s="905"/>
      <c r="AE37" s="905"/>
      <c r="AF37" s="897"/>
      <c r="AG37" s="897"/>
      <c r="AH37" s="897"/>
      <c r="AI37" s="905"/>
      <c r="AJ37" s="905"/>
      <c r="AK37" s="905"/>
      <c r="AL37" s="905"/>
      <c r="AM37" s="905"/>
      <c r="AN37" s="905"/>
      <c r="AO37" s="904"/>
      <c r="AP37" s="905"/>
      <c r="AQ37" s="904"/>
      <c r="AR37" s="904"/>
      <c r="AS37" s="904"/>
      <c r="AT37" s="898"/>
      <c r="AU37" s="905"/>
      <c r="AV37" s="905"/>
      <c r="AW37" s="907"/>
      <c r="AX37" s="873"/>
    </row>
    <row r="38" spans="2:50" ht="50.1" customHeight="1" x14ac:dyDescent="0.25">
      <c r="B38" s="931" t="s">
        <v>2045</v>
      </c>
      <c r="C38" s="2105" t="s">
        <v>2046</v>
      </c>
      <c r="D38" s="2105"/>
      <c r="E38" s="913"/>
      <c r="F38" s="907"/>
      <c r="G38" s="907"/>
      <c r="H38" s="907"/>
      <c r="I38" s="904"/>
      <c r="J38" s="905"/>
      <c r="K38" s="905"/>
      <c r="L38" s="905"/>
      <c r="M38" s="905"/>
      <c r="N38" s="905"/>
      <c r="O38" s="905"/>
      <c r="P38" s="905"/>
      <c r="Q38" s="907"/>
      <c r="R38" s="907"/>
      <c r="S38" s="907"/>
      <c r="T38" s="907"/>
      <c r="U38" s="905"/>
      <c r="V38" s="905"/>
      <c r="W38" s="905"/>
      <c r="X38" s="905"/>
      <c r="Y38" s="905"/>
      <c r="Z38" s="905"/>
      <c r="AA38" s="905"/>
      <c r="AB38" s="905"/>
      <c r="AC38" s="905"/>
      <c r="AD38" s="905"/>
      <c r="AE38" s="905"/>
      <c r="AF38" s="897"/>
      <c r="AG38" s="897"/>
      <c r="AH38" s="869"/>
      <c r="AI38" s="869"/>
      <c r="AJ38" s="869"/>
      <c r="AK38" s="906"/>
      <c r="AL38" s="872"/>
      <c r="AM38" s="914"/>
      <c r="AN38" s="914"/>
      <c r="AO38" s="906"/>
      <c r="AP38" s="872"/>
      <c r="AQ38" s="904"/>
      <c r="AR38" s="904"/>
      <c r="AS38" s="904"/>
      <c r="AT38" s="898"/>
      <c r="AU38" s="905"/>
      <c r="AV38" s="905"/>
      <c r="AW38" s="907"/>
      <c r="AX38" s="873"/>
    </row>
    <row r="39" spans="2:50" ht="50.1" customHeight="1" x14ac:dyDescent="0.25">
      <c r="B39" s="931" t="s">
        <v>2047</v>
      </c>
      <c r="C39" s="2106" t="s">
        <v>2048</v>
      </c>
      <c r="D39" s="845" t="s">
        <v>2049</v>
      </c>
      <c r="E39" s="913"/>
      <c r="F39" s="907"/>
      <c r="G39" s="907"/>
      <c r="H39" s="907"/>
      <c r="I39" s="904"/>
      <c r="J39" s="902"/>
      <c r="K39" s="902"/>
      <c r="L39" s="902"/>
      <c r="M39" s="902"/>
      <c r="N39" s="902"/>
      <c r="O39" s="902"/>
      <c r="P39" s="905"/>
      <c r="Q39" s="909"/>
      <c r="R39" s="909"/>
      <c r="S39" s="909"/>
      <c r="T39" s="909"/>
      <c r="U39" s="905"/>
      <c r="V39" s="905"/>
      <c r="W39" s="905"/>
      <c r="X39" s="905"/>
      <c r="Y39" s="905"/>
      <c r="Z39" s="905"/>
      <c r="AA39" s="905"/>
      <c r="AB39" s="905"/>
      <c r="AC39" s="905"/>
      <c r="AD39" s="905"/>
      <c r="AE39" s="905"/>
      <c r="AF39" s="897"/>
      <c r="AG39" s="897"/>
      <c r="AH39" s="869"/>
      <c r="AI39" s="869"/>
      <c r="AJ39" s="869"/>
      <c r="AK39" s="906"/>
      <c r="AL39" s="872"/>
      <c r="AM39" s="912"/>
      <c r="AN39" s="912"/>
      <c r="AO39" s="906"/>
      <c r="AP39" s="872"/>
      <c r="AQ39" s="904"/>
      <c r="AR39" s="904"/>
      <c r="AS39" s="904"/>
      <c r="AT39" s="898"/>
      <c r="AU39" s="902"/>
      <c r="AV39" s="902"/>
      <c r="AW39" s="911"/>
      <c r="AX39" s="873"/>
    </row>
    <row r="40" spans="2:50" ht="50.1" customHeight="1" x14ac:dyDescent="0.25">
      <c r="B40" s="931" t="s">
        <v>2050</v>
      </c>
      <c r="C40" s="2106"/>
      <c r="D40" s="845" t="s">
        <v>2051</v>
      </c>
      <c r="E40" s="913"/>
      <c r="F40" s="907"/>
      <c r="G40" s="907"/>
      <c r="H40" s="907"/>
      <c r="I40" s="904"/>
      <c r="J40" s="902"/>
      <c r="K40" s="902"/>
      <c r="L40" s="902"/>
      <c r="M40" s="902"/>
      <c r="N40" s="902"/>
      <c r="O40" s="902"/>
      <c r="P40" s="905"/>
      <c r="Q40" s="909"/>
      <c r="R40" s="909"/>
      <c r="S40" s="909"/>
      <c r="T40" s="909"/>
      <c r="U40" s="905"/>
      <c r="V40" s="905"/>
      <c r="W40" s="905"/>
      <c r="X40" s="905"/>
      <c r="Y40" s="905"/>
      <c r="Z40" s="905"/>
      <c r="AA40" s="905"/>
      <c r="AB40" s="905"/>
      <c r="AC40" s="905"/>
      <c r="AD40" s="905"/>
      <c r="AE40" s="905"/>
      <c r="AF40" s="897"/>
      <c r="AG40" s="897"/>
      <c r="AH40" s="869"/>
      <c r="AI40" s="869"/>
      <c r="AJ40" s="869"/>
      <c r="AK40" s="906"/>
      <c r="AL40" s="872"/>
      <c r="AM40" s="912"/>
      <c r="AN40" s="912"/>
      <c r="AO40" s="906"/>
      <c r="AP40" s="872"/>
      <c r="AQ40" s="904"/>
      <c r="AR40" s="904"/>
      <c r="AS40" s="904"/>
      <c r="AT40" s="898"/>
      <c r="AU40" s="902"/>
      <c r="AV40" s="902"/>
      <c r="AW40" s="911"/>
      <c r="AX40" s="873"/>
    </row>
    <row r="41" spans="2:50" ht="50.1" customHeight="1" x14ac:dyDescent="0.25">
      <c r="B41" s="931" t="s">
        <v>2052</v>
      </c>
      <c r="C41" s="2106"/>
      <c r="D41" s="845" t="s">
        <v>2053</v>
      </c>
      <c r="E41" s="913"/>
      <c r="F41" s="907"/>
      <c r="G41" s="907"/>
      <c r="H41" s="907"/>
      <c r="I41" s="904"/>
      <c r="J41" s="902"/>
      <c r="K41" s="902"/>
      <c r="L41" s="902"/>
      <c r="M41" s="902"/>
      <c r="N41" s="902"/>
      <c r="O41" s="902"/>
      <c r="P41" s="905"/>
      <c r="Q41" s="909"/>
      <c r="R41" s="909"/>
      <c r="S41" s="909"/>
      <c r="T41" s="909"/>
      <c r="U41" s="905"/>
      <c r="V41" s="905"/>
      <c r="W41" s="905"/>
      <c r="X41" s="905"/>
      <c r="Y41" s="905"/>
      <c r="Z41" s="905"/>
      <c r="AA41" s="905"/>
      <c r="AB41" s="905"/>
      <c r="AC41" s="905"/>
      <c r="AD41" s="905"/>
      <c r="AE41" s="905"/>
      <c r="AF41" s="897"/>
      <c r="AG41" s="897"/>
      <c r="AH41" s="869"/>
      <c r="AI41" s="869"/>
      <c r="AJ41" s="869"/>
      <c r="AK41" s="906"/>
      <c r="AL41" s="872"/>
      <c r="AM41" s="912"/>
      <c r="AN41" s="912"/>
      <c r="AO41" s="906"/>
      <c r="AP41" s="872"/>
      <c r="AQ41" s="904"/>
      <c r="AR41" s="904"/>
      <c r="AS41" s="904"/>
      <c r="AT41" s="898"/>
      <c r="AU41" s="902"/>
      <c r="AV41" s="902"/>
      <c r="AW41" s="911"/>
      <c r="AX41" s="873"/>
    </row>
    <row r="42" spans="2:50" ht="50.1" customHeight="1" x14ac:dyDescent="0.25">
      <c r="B42" s="931" t="s">
        <v>2054</v>
      </c>
      <c r="C42" s="2106" t="s">
        <v>2055</v>
      </c>
      <c r="D42" s="845" t="s">
        <v>2056</v>
      </c>
      <c r="E42" s="913"/>
      <c r="F42" s="907"/>
      <c r="G42" s="907"/>
      <c r="H42" s="907"/>
      <c r="I42" s="904"/>
      <c r="J42" s="902"/>
      <c r="K42" s="902"/>
      <c r="L42" s="902"/>
      <c r="M42" s="902"/>
      <c r="N42" s="902"/>
      <c r="O42" s="902"/>
      <c r="P42" s="905"/>
      <c r="Q42" s="909"/>
      <c r="R42" s="909"/>
      <c r="S42" s="909"/>
      <c r="T42" s="909"/>
      <c r="U42" s="905"/>
      <c r="V42" s="905"/>
      <c r="W42" s="905"/>
      <c r="X42" s="905"/>
      <c r="Y42" s="905"/>
      <c r="Z42" s="905"/>
      <c r="AA42" s="905"/>
      <c r="AB42" s="905"/>
      <c r="AC42" s="905"/>
      <c r="AD42" s="905"/>
      <c r="AE42" s="905"/>
      <c r="AF42" s="897"/>
      <c r="AG42" s="897"/>
      <c r="AH42" s="869"/>
      <c r="AI42" s="869"/>
      <c r="AJ42" s="869"/>
      <c r="AK42" s="906"/>
      <c r="AL42" s="872"/>
      <c r="AM42" s="912"/>
      <c r="AN42" s="912"/>
      <c r="AO42" s="906"/>
      <c r="AP42" s="872"/>
      <c r="AQ42" s="904"/>
      <c r="AR42" s="904"/>
      <c r="AS42" s="904"/>
      <c r="AT42" s="898"/>
      <c r="AU42" s="902"/>
      <c r="AV42" s="902"/>
      <c r="AW42" s="911"/>
      <c r="AX42" s="873"/>
    </row>
    <row r="43" spans="2:50" ht="50.1" customHeight="1" x14ac:dyDescent="0.25">
      <c r="B43" s="930" t="s">
        <v>2057</v>
      </c>
      <c r="C43" s="2106"/>
      <c r="D43" s="845" t="s">
        <v>2058</v>
      </c>
      <c r="E43" s="913"/>
      <c r="F43" s="907"/>
      <c r="G43" s="907"/>
      <c r="H43" s="907"/>
      <c r="I43" s="904"/>
      <c r="J43" s="902"/>
      <c r="K43" s="902"/>
      <c r="L43" s="902"/>
      <c r="M43" s="902"/>
      <c r="N43" s="902"/>
      <c r="O43" s="902"/>
      <c r="P43" s="905"/>
      <c r="Q43" s="909"/>
      <c r="R43" s="909"/>
      <c r="S43" s="909"/>
      <c r="T43" s="909"/>
      <c r="U43" s="905"/>
      <c r="V43" s="905"/>
      <c r="W43" s="905"/>
      <c r="X43" s="905"/>
      <c r="Y43" s="905"/>
      <c r="Z43" s="905"/>
      <c r="AA43" s="905"/>
      <c r="AB43" s="905"/>
      <c r="AC43" s="905"/>
      <c r="AD43" s="905"/>
      <c r="AE43" s="905"/>
      <c r="AF43" s="897"/>
      <c r="AG43" s="897"/>
      <c r="AH43" s="869"/>
      <c r="AI43" s="869"/>
      <c r="AJ43" s="869"/>
      <c r="AK43" s="906"/>
      <c r="AL43" s="872"/>
      <c r="AM43" s="912"/>
      <c r="AN43" s="912"/>
      <c r="AO43" s="906"/>
      <c r="AP43" s="872"/>
      <c r="AQ43" s="904"/>
      <c r="AR43" s="904"/>
      <c r="AS43" s="904"/>
      <c r="AT43" s="898"/>
      <c r="AU43" s="902"/>
      <c r="AV43" s="902"/>
      <c r="AW43" s="911"/>
      <c r="AX43" s="873"/>
    </row>
    <row r="44" spans="2:50" ht="50.1" customHeight="1" x14ac:dyDescent="0.25">
      <c r="B44" s="931" t="s">
        <v>2059</v>
      </c>
      <c r="C44" s="2107" t="s">
        <v>2060</v>
      </c>
      <c r="D44" s="2107"/>
      <c r="E44" s="913"/>
      <c r="F44" s="907"/>
      <c r="G44" s="907"/>
      <c r="H44" s="907"/>
      <c r="I44" s="904"/>
      <c r="J44" s="905"/>
      <c r="K44" s="905"/>
      <c r="L44" s="905"/>
      <c r="M44" s="905"/>
      <c r="N44" s="905"/>
      <c r="O44" s="905"/>
      <c r="P44" s="905"/>
      <c r="Q44" s="905"/>
      <c r="R44" s="905"/>
      <c r="S44" s="905"/>
      <c r="T44" s="905"/>
      <c r="U44" s="905"/>
      <c r="V44" s="905"/>
      <c r="W44" s="905"/>
      <c r="X44" s="905"/>
      <c r="Y44" s="905"/>
      <c r="Z44" s="905"/>
      <c r="AA44" s="905"/>
      <c r="AB44" s="905"/>
      <c r="AC44" s="905"/>
      <c r="AD44" s="905"/>
      <c r="AE44" s="905"/>
      <c r="AF44" s="897"/>
      <c r="AG44" s="897"/>
      <c r="AH44" s="897"/>
      <c r="AI44" s="905"/>
      <c r="AJ44" s="905"/>
      <c r="AK44" s="905"/>
      <c r="AL44" s="905"/>
      <c r="AM44" s="905"/>
      <c r="AN44" s="905"/>
      <c r="AO44" s="905"/>
      <c r="AP44" s="905"/>
      <c r="AQ44" s="904"/>
      <c r="AR44" s="904"/>
      <c r="AS44" s="904"/>
      <c r="AT44" s="898"/>
      <c r="AU44" s="905"/>
      <c r="AV44" s="905"/>
      <c r="AW44" s="907"/>
      <c r="AX44" s="873"/>
    </row>
    <row r="45" spans="2:50" ht="50.1" customHeight="1" x14ac:dyDescent="0.25">
      <c r="B45" s="931" t="s">
        <v>2061</v>
      </c>
      <c r="C45" s="2106" t="s">
        <v>2062</v>
      </c>
      <c r="D45" s="845" t="s">
        <v>2063</v>
      </c>
      <c r="E45" s="913"/>
      <c r="F45" s="907"/>
      <c r="G45" s="907"/>
      <c r="H45" s="907"/>
      <c r="I45" s="904"/>
      <c r="J45" s="902"/>
      <c r="K45" s="902"/>
      <c r="L45" s="902"/>
      <c r="M45" s="902"/>
      <c r="N45" s="902"/>
      <c r="O45" s="902"/>
      <c r="P45" s="905"/>
      <c r="Q45" s="902"/>
      <c r="R45" s="902"/>
      <c r="S45" s="902"/>
      <c r="T45" s="902"/>
      <c r="U45" s="905"/>
      <c r="V45" s="905"/>
      <c r="W45" s="905"/>
      <c r="X45" s="905"/>
      <c r="Y45" s="905"/>
      <c r="Z45" s="905"/>
      <c r="AA45" s="905"/>
      <c r="AB45" s="905"/>
      <c r="AC45" s="905"/>
      <c r="AD45" s="905"/>
      <c r="AE45" s="905"/>
      <c r="AF45" s="897"/>
      <c r="AG45" s="897"/>
      <c r="AH45" s="869"/>
      <c r="AI45" s="869"/>
      <c r="AJ45" s="869"/>
      <c r="AK45" s="906"/>
      <c r="AL45" s="872"/>
      <c r="AM45" s="912"/>
      <c r="AN45" s="912"/>
      <c r="AO45" s="906"/>
      <c r="AP45" s="872"/>
      <c r="AQ45" s="904"/>
      <c r="AR45" s="904"/>
      <c r="AS45" s="904"/>
      <c r="AT45" s="898"/>
      <c r="AU45" s="902"/>
      <c r="AV45" s="902"/>
      <c r="AW45" s="911"/>
      <c r="AX45" s="873"/>
    </row>
    <row r="46" spans="2:50" ht="50.1" customHeight="1" x14ac:dyDescent="0.25">
      <c r="B46" s="931" t="s">
        <v>2064</v>
      </c>
      <c r="C46" s="2106"/>
      <c r="D46" s="845" t="s">
        <v>2065</v>
      </c>
      <c r="E46" s="913"/>
      <c r="F46" s="907"/>
      <c r="G46" s="907"/>
      <c r="H46" s="907"/>
      <c r="I46" s="904"/>
      <c r="J46" s="902"/>
      <c r="K46" s="902"/>
      <c r="L46" s="902"/>
      <c r="M46" s="902"/>
      <c r="N46" s="902"/>
      <c r="O46" s="902"/>
      <c r="P46" s="905"/>
      <c r="Q46" s="902"/>
      <c r="R46" s="902"/>
      <c r="S46" s="902"/>
      <c r="T46" s="902"/>
      <c r="U46" s="905"/>
      <c r="V46" s="905"/>
      <c r="W46" s="905"/>
      <c r="X46" s="905"/>
      <c r="Y46" s="905"/>
      <c r="Z46" s="905"/>
      <c r="AA46" s="905"/>
      <c r="AB46" s="905"/>
      <c r="AC46" s="905"/>
      <c r="AD46" s="905"/>
      <c r="AE46" s="905"/>
      <c r="AF46" s="897"/>
      <c r="AG46" s="897"/>
      <c r="AH46" s="869"/>
      <c r="AI46" s="869"/>
      <c r="AJ46" s="869"/>
      <c r="AK46" s="906"/>
      <c r="AL46" s="872"/>
      <c r="AM46" s="912"/>
      <c r="AN46" s="912"/>
      <c r="AO46" s="906"/>
      <c r="AP46" s="872"/>
      <c r="AQ46" s="904"/>
      <c r="AR46" s="904"/>
      <c r="AS46" s="904"/>
      <c r="AT46" s="898"/>
      <c r="AU46" s="902"/>
      <c r="AV46" s="902"/>
      <c r="AW46" s="911"/>
      <c r="AX46" s="873"/>
    </row>
    <row r="47" spans="2:50" ht="50.1" customHeight="1" x14ac:dyDescent="0.25">
      <c r="B47" s="931" t="s">
        <v>2066</v>
      </c>
      <c r="C47" s="2106"/>
      <c r="D47" s="845" t="s">
        <v>2067</v>
      </c>
      <c r="E47" s="913"/>
      <c r="F47" s="907"/>
      <c r="G47" s="907"/>
      <c r="H47" s="907"/>
      <c r="I47" s="904"/>
      <c r="J47" s="902"/>
      <c r="K47" s="902"/>
      <c r="L47" s="902"/>
      <c r="M47" s="902"/>
      <c r="N47" s="902"/>
      <c r="O47" s="902"/>
      <c r="P47" s="905"/>
      <c r="Q47" s="902"/>
      <c r="R47" s="902"/>
      <c r="S47" s="902"/>
      <c r="T47" s="902"/>
      <c r="U47" s="905"/>
      <c r="V47" s="905"/>
      <c r="W47" s="905"/>
      <c r="X47" s="905"/>
      <c r="Y47" s="905"/>
      <c r="Z47" s="905"/>
      <c r="AA47" s="905"/>
      <c r="AB47" s="905"/>
      <c r="AC47" s="905"/>
      <c r="AD47" s="905"/>
      <c r="AE47" s="905"/>
      <c r="AF47" s="897"/>
      <c r="AG47" s="897"/>
      <c r="AH47" s="869"/>
      <c r="AI47" s="869"/>
      <c r="AJ47" s="869"/>
      <c r="AK47" s="906"/>
      <c r="AL47" s="872"/>
      <c r="AM47" s="912"/>
      <c r="AN47" s="912"/>
      <c r="AO47" s="906"/>
      <c r="AP47" s="872"/>
      <c r="AQ47" s="904"/>
      <c r="AR47" s="904"/>
      <c r="AS47" s="904"/>
      <c r="AT47" s="898"/>
      <c r="AU47" s="902"/>
      <c r="AV47" s="902"/>
      <c r="AW47" s="911"/>
      <c r="AX47" s="873"/>
    </row>
    <row r="48" spans="2:50" ht="50.1" customHeight="1" x14ac:dyDescent="0.25">
      <c r="B48" s="931" t="s">
        <v>2068</v>
      </c>
      <c r="C48" s="2106" t="s">
        <v>2069</v>
      </c>
      <c r="D48" s="845" t="s">
        <v>2070</v>
      </c>
      <c r="E48" s="913"/>
      <c r="F48" s="907"/>
      <c r="G48" s="907"/>
      <c r="H48" s="907"/>
      <c r="I48" s="904"/>
      <c r="J48" s="902"/>
      <c r="K48" s="902"/>
      <c r="L48" s="902"/>
      <c r="M48" s="902"/>
      <c r="N48" s="902"/>
      <c r="O48" s="902"/>
      <c r="P48" s="905"/>
      <c r="Q48" s="902"/>
      <c r="R48" s="902"/>
      <c r="S48" s="902"/>
      <c r="T48" s="902"/>
      <c r="U48" s="905"/>
      <c r="V48" s="905"/>
      <c r="W48" s="905"/>
      <c r="X48" s="905"/>
      <c r="Y48" s="905"/>
      <c r="Z48" s="905"/>
      <c r="AA48" s="905"/>
      <c r="AB48" s="905"/>
      <c r="AC48" s="905"/>
      <c r="AD48" s="905"/>
      <c r="AE48" s="905"/>
      <c r="AF48" s="897"/>
      <c r="AG48" s="897"/>
      <c r="AH48" s="869"/>
      <c r="AI48" s="869"/>
      <c r="AJ48" s="869"/>
      <c r="AK48" s="906"/>
      <c r="AL48" s="872"/>
      <c r="AM48" s="912"/>
      <c r="AN48" s="912"/>
      <c r="AO48" s="906"/>
      <c r="AP48" s="872"/>
      <c r="AQ48" s="904"/>
      <c r="AR48" s="904"/>
      <c r="AS48" s="904"/>
      <c r="AT48" s="898"/>
      <c r="AU48" s="902"/>
      <c r="AV48" s="902"/>
      <c r="AW48" s="911"/>
      <c r="AX48" s="873"/>
    </row>
    <row r="49" spans="2:50" ht="50.1" customHeight="1" x14ac:dyDescent="0.25">
      <c r="B49" s="931" t="s">
        <v>2071</v>
      </c>
      <c r="C49" s="2106"/>
      <c r="D49" s="845" t="s">
        <v>2072</v>
      </c>
      <c r="E49" s="916"/>
      <c r="F49" s="917"/>
      <c r="G49" s="917"/>
      <c r="H49" s="917"/>
      <c r="I49" s="918"/>
      <c r="J49" s="919"/>
      <c r="K49" s="919"/>
      <c r="L49" s="919"/>
      <c r="M49" s="919"/>
      <c r="N49" s="919"/>
      <c r="O49" s="919"/>
      <c r="P49" s="920"/>
      <c r="Q49" s="919"/>
      <c r="R49" s="919"/>
      <c r="S49" s="919"/>
      <c r="T49" s="919"/>
      <c r="U49" s="920"/>
      <c r="V49" s="920"/>
      <c r="W49" s="920"/>
      <c r="X49" s="920"/>
      <c r="Y49" s="920"/>
      <c r="Z49" s="920"/>
      <c r="AA49" s="920"/>
      <c r="AB49" s="920"/>
      <c r="AC49" s="920"/>
      <c r="AD49" s="920"/>
      <c r="AE49" s="920"/>
      <c r="AF49" s="921"/>
      <c r="AG49" s="921"/>
      <c r="AH49" s="922"/>
      <c r="AI49" s="922"/>
      <c r="AJ49" s="922"/>
      <c r="AK49" s="923"/>
      <c r="AL49" s="924"/>
      <c r="AM49" s="925"/>
      <c r="AN49" s="925"/>
      <c r="AO49" s="923"/>
      <c r="AP49" s="924"/>
      <c r="AQ49" s="918"/>
      <c r="AR49" s="918"/>
      <c r="AS49" s="918"/>
      <c r="AT49" s="926"/>
      <c r="AU49" s="919"/>
      <c r="AV49" s="919"/>
      <c r="AW49" s="927"/>
      <c r="AX49" s="928"/>
    </row>
    <row r="50" spans="2:50" s="947" customFormat="1" ht="50.1" customHeight="1" x14ac:dyDescent="0.25">
      <c r="B50" s="933"/>
      <c r="C50" s="2102" t="s">
        <v>2073</v>
      </c>
      <c r="D50" s="2103"/>
      <c r="E50" s="2103"/>
      <c r="F50" s="2103"/>
      <c r="G50" s="2103"/>
      <c r="H50" s="2103"/>
      <c r="I50" s="2103"/>
      <c r="J50" s="2103"/>
      <c r="K50" s="2103"/>
      <c r="L50" s="2103"/>
      <c r="M50" s="2103"/>
      <c r="N50" s="2103"/>
      <c r="O50" s="2103"/>
      <c r="P50" s="2103"/>
      <c r="Q50" s="2103"/>
      <c r="R50" s="2103"/>
      <c r="S50" s="2103"/>
      <c r="T50" s="2103"/>
      <c r="U50" s="2103"/>
      <c r="V50" s="2103"/>
      <c r="W50" s="2103"/>
      <c r="X50" s="2103"/>
      <c r="Y50" s="2103"/>
      <c r="Z50" s="2103"/>
      <c r="AA50" s="2103"/>
      <c r="AB50" s="2103"/>
      <c r="AC50" s="2103"/>
      <c r="AD50" s="2103"/>
      <c r="AE50" s="2103"/>
      <c r="AF50" s="2103"/>
      <c r="AG50" s="2103"/>
      <c r="AH50" s="2103"/>
      <c r="AI50" s="2103"/>
      <c r="AJ50" s="2103"/>
      <c r="AK50" s="2103"/>
      <c r="AL50" s="2103"/>
      <c r="AM50" s="2103"/>
      <c r="AN50" s="2103"/>
      <c r="AO50" s="2103"/>
      <c r="AP50" s="2103"/>
      <c r="AQ50" s="2103"/>
      <c r="AR50" s="2103"/>
      <c r="AS50" s="2103"/>
      <c r="AT50" s="2103"/>
      <c r="AU50" s="2103"/>
      <c r="AV50" s="2103"/>
      <c r="AW50" s="2103"/>
      <c r="AX50" s="2104"/>
    </row>
    <row r="51" spans="2:50" s="947" customFormat="1" ht="50.1" customHeight="1" x14ac:dyDescent="0.25">
      <c r="B51" s="934" t="s">
        <v>2074</v>
      </c>
      <c r="C51" s="846" t="s">
        <v>2075</v>
      </c>
      <c r="D51" s="847"/>
      <c r="E51" s="850"/>
      <c r="F51" s="851"/>
      <c r="G51" s="851"/>
      <c r="H51" s="852"/>
      <c r="I51" s="853"/>
      <c r="J51" s="851"/>
      <c r="K51" s="851"/>
      <c r="L51" s="851"/>
      <c r="M51" s="851"/>
      <c r="N51" s="851"/>
      <c r="O51" s="851"/>
      <c r="P51" s="851"/>
      <c r="Q51" s="851"/>
      <c r="R51" s="854"/>
      <c r="S51" s="851"/>
      <c r="T51" s="851"/>
      <c r="U51" s="855"/>
      <c r="V51" s="851"/>
      <c r="W51" s="856"/>
      <c r="X51" s="857"/>
      <c r="Y51" s="858"/>
      <c r="Z51" s="857"/>
      <c r="AA51" s="857"/>
      <c r="AB51" s="857"/>
      <c r="AC51" s="857"/>
      <c r="AD51" s="857"/>
      <c r="AE51" s="857"/>
      <c r="AF51" s="857"/>
      <c r="AG51" s="857"/>
      <c r="AH51" s="857"/>
      <c r="AI51" s="857"/>
      <c r="AJ51" s="857"/>
      <c r="AK51" s="851"/>
      <c r="AL51" s="851"/>
      <c r="AM51" s="851"/>
      <c r="AN51" s="851"/>
      <c r="AO51" s="859"/>
      <c r="AP51" s="859"/>
      <c r="AQ51" s="851"/>
      <c r="AR51" s="860"/>
      <c r="AS51" s="860"/>
      <c r="AT51" s="859"/>
      <c r="AU51" s="859"/>
      <c r="AV51" s="859"/>
      <c r="AW51" s="859"/>
      <c r="AX51" s="861"/>
    </row>
    <row r="52" spans="2:50" s="947" customFormat="1" ht="50.1" customHeight="1" x14ac:dyDescent="0.25">
      <c r="B52" s="934" t="s">
        <v>2076</v>
      </c>
      <c r="C52" s="846" t="s">
        <v>2077</v>
      </c>
      <c r="D52" s="847"/>
      <c r="E52" s="862"/>
      <c r="F52" s="863"/>
      <c r="G52" s="863"/>
      <c r="H52" s="864"/>
      <c r="I52" s="865"/>
      <c r="J52" s="863"/>
      <c r="K52" s="863"/>
      <c r="L52" s="863"/>
      <c r="M52" s="863"/>
      <c r="N52" s="863"/>
      <c r="O52" s="863"/>
      <c r="P52" s="863"/>
      <c r="Q52" s="863"/>
      <c r="R52" s="866"/>
      <c r="S52" s="863"/>
      <c r="T52" s="863"/>
      <c r="U52" s="867"/>
      <c r="V52" s="851"/>
      <c r="W52" s="868"/>
      <c r="X52" s="869"/>
      <c r="Y52" s="870"/>
      <c r="Z52" s="869"/>
      <c r="AA52" s="869"/>
      <c r="AB52" s="869"/>
      <c r="AC52" s="869"/>
      <c r="AD52" s="869"/>
      <c r="AE52" s="869"/>
      <c r="AF52" s="869"/>
      <c r="AG52" s="869"/>
      <c r="AH52" s="869"/>
      <c r="AI52" s="869"/>
      <c r="AJ52" s="869"/>
      <c r="AK52" s="863"/>
      <c r="AL52" s="863"/>
      <c r="AM52" s="863"/>
      <c r="AN52" s="863"/>
      <c r="AO52" s="871"/>
      <c r="AP52" s="871"/>
      <c r="AQ52" s="863"/>
      <c r="AR52" s="872"/>
      <c r="AS52" s="872"/>
      <c r="AT52" s="871"/>
      <c r="AU52" s="871"/>
      <c r="AV52" s="871"/>
      <c r="AW52" s="871"/>
      <c r="AX52" s="873"/>
    </row>
    <row r="53" spans="2:50" s="947" customFormat="1" ht="50.1" customHeight="1" x14ac:dyDescent="0.25">
      <c r="B53" s="934" t="s">
        <v>2078</v>
      </c>
      <c r="C53" s="846" t="s">
        <v>2079</v>
      </c>
      <c r="D53" s="847"/>
      <c r="E53" s="862"/>
      <c r="F53" s="863"/>
      <c r="G53" s="863"/>
      <c r="H53" s="864"/>
      <c r="I53" s="865"/>
      <c r="J53" s="863"/>
      <c r="K53" s="863"/>
      <c r="L53" s="863"/>
      <c r="M53" s="863"/>
      <c r="N53" s="863"/>
      <c r="O53" s="863"/>
      <c r="P53" s="863"/>
      <c r="Q53" s="863"/>
      <c r="R53" s="866"/>
      <c r="S53" s="863"/>
      <c r="T53" s="863"/>
      <c r="U53" s="867"/>
      <c r="V53" s="851"/>
      <c r="W53" s="868"/>
      <c r="X53" s="869"/>
      <c r="Y53" s="870"/>
      <c r="Z53" s="869"/>
      <c r="AA53" s="869"/>
      <c r="AB53" s="869"/>
      <c r="AC53" s="869"/>
      <c r="AD53" s="869"/>
      <c r="AE53" s="869"/>
      <c r="AF53" s="869"/>
      <c r="AG53" s="869"/>
      <c r="AH53" s="869"/>
      <c r="AI53" s="869"/>
      <c r="AJ53" s="869"/>
      <c r="AK53" s="863"/>
      <c r="AL53" s="863"/>
      <c r="AM53" s="863"/>
      <c r="AN53" s="863"/>
      <c r="AO53" s="871"/>
      <c r="AP53" s="871"/>
      <c r="AQ53" s="863"/>
      <c r="AR53" s="872"/>
      <c r="AS53" s="872"/>
      <c r="AT53" s="871"/>
      <c r="AU53" s="871"/>
      <c r="AV53" s="871"/>
      <c r="AW53" s="871"/>
      <c r="AX53" s="873"/>
    </row>
    <row r="54" spans="2:50" s="947" customFormat="1" ht="50.1" customHeight="1" x14ac:dyDescent="0.25">
      <c r="B54" s="934" t="s">
        <v>2080</v>
      </c>
      <c r="C54" s="846" t="s">
        <v>2081</v>
      </c>
      <c r="D54" s="847"/>
      <c r="E54" s="862"/>
      <c r="F54" s="863"/>
      <c r="G54" s="863"/>
      <c r="H54" s="864"/>
      <c r="I54" s="865"/>
      <c r="J54" s="863"/>
      <c r="K54" s="863"/>
      <c r="L54" s="863"/>
      <c r="M54" s="863"/>
      <c r="N54" s="863"/>
      <c r="O54" s="863"/>
      <c r="P54" s="863"/>
      <c r="Q54" s="863"/>
      <c r="R54" s="866"/>
      <c r="S54" s="863"/>
      <c r="T54" s="863"/>
      <c r="U54" s="867"/>
      <c r="V54" s="851"/>
      <c r="W54" s="868"/>
      <c r="X54" s="869"/>
      <c r="Y54" s="870"/>
      <c r="Z54" s="869"/>
      <c r="AA54" s="869"/>
      <c r="AB54" s="869"/>
      <c r="AC54" s="869"/>
      <c r="AD54" s="869"/>
      <c r="AE54" s="869"/>
      <c r="AF54" s="869"/>
      <c r="AG54" s="869"/>
      <c r="AH54" s="869"/>
      <c r="AI54" s="869"/>
      <c r="AJ54" s="869"/>
      <c r="AK54" s="863"/>
      <c r="AL54" s="863"/>
      <c r="AM54" s="863"/>
      <c r="AN54" s="863"/>
      <c r="AO54" s="871"/>
      <c r="AP54" s="871"/>
      <c r="AQ54" s="863"/>
      <c r="AR54" s="872"/>
      <c r="AS54" s="872"/>
      <c r="AT54" s="871"/>
      <c r="AU54" s="871"/>
      <c r="AV54" s="871"/>
      <c r="AW54" s="871"/>
      <c r="AX54" s="873"/>
    </row>
    <row r="55" spans="2:50" s="947" customFormat="1" ht="50.1" customHeight="1" x14ac:dyDescent="0.25">
      <c r="B55" s="934" t="s">
        <v>2082</v>
      </c>
      <c r="C55" s="846" t="s">
        <v>2083</v>
      </c>
      <c r="D55" s="847"/>
      <c r="E55" s="862"/>
      <c r="F55" s="863"/>
      <c r="G55" s="863"/>
      <c r="H55" s="864"/>
      <c r="I55" s="865"/>
      <c r="J55" s="863"/>
      <c r="K55" s="863"/>
      <c r="L55" s="863"/>
      <c r="M55" s="863"/>
      <c r="N55" s="863"/>
      <c r="O55" s="863"/>
      <c r="P55" s="863"/>
      <c r="Q55" s="863"/>
      <c r="R55" s="866"/>
      <c r="S55" s="863"/>
      <c r="T55" s="863"/>
      <c r="U55" s="867"/>
      <c r="V55" s="851"/>
      <c r="W55" s="868"/>
      <c r="X55" s="869"/>
      <c r="Y55" s="870"/>
      <c r="Z55" s="869"/>
      <c r="AA55" s="869"/>
      <c r="AB55" s="869"/>
      <c r="AC55" s="869"/>
      <c r="AD55" s="869"/>
      <c r="AE55" s="869"/>
      <c r="AF55" s="869"/>
      <c r="AG55" s="869"/>
      <c r="AH55" s="869"/>
      <c r="AI55" s="869"/>
      <c r="AJ55" s="869"/>
      <c r="AK55" s="863"/>
      <c r="AL55" s="863"/>
      <c r="AM55" s="863"/>
      <c r="AN55" s="863"/>
      <c r="AO55" s="871"/>
      <c r="AP55" s="871"/>
      <c r="AQ55" s="863"/>
      <c r="AR55" s="872"/>
      <c r="AS55" s="872"/>
      <c r="AT55" s="871"/>
      <c r="AU55" s="871"/>
      <c r="AV55" s="871"/>
      <c r="AW55" s="871"/>
      <c r="AX55" s="873"/>
    </row>
    <row r="56" spans="2:50" s="947" customFormat="1" ht="50.1" customHeight="1" x14ac:dyDescent="0.25">
      <c r="B56" s="934" t="s">
        <v>2084</v>
      </c>
      <c r="C56" s="846" t="s">
        <v>2085</v>
      </c>
      <c r="D56" s="847"/>
      <c r="E56" s="862"/>
      <c r="F56" s="863"/>
      <c r="G56" s="863"/>
      <c r="H56" s="864"/>
      <c r="I56" s="865"/>
      <c r="J56" s="863"/>
      <c r="K56" s="863"/>
      <c r="L56" s="863"/>
      <c r="M56" s="863"/>
      <c r="N56" s="863"/>
      <c r="O56" s="863"/>
      <c r="P56" s="863"/>
      <c r="Q56" s="863"/>
      <c r="R56" s="866"/>
      <c r="S56" s="863"/>
      <c r="T56" s="863"/>
      <c r="U56" s="867"/>
      <c r="V56" s="851"/>
      <c r="W56" s="868"/>
      <c r="X56" s="869"/>
      <c r="Y56" s="870"/>
      <c r="Z56" s="869"/>
      <c r="AA56" s="869"/>
      <c r="AB56" s="869"/>
      <c r="AC56" s="869"/>
      <c r="AD56" s="869"/>
      <c r="AE56" s="869"/>
      <c r="AF56" s="869"/>
      <c r="AG56" s="869"/>
      <c r="AH56" s="869"/>
      <c r="AI56" s="869"/>
      <c r="AJ56" s="869"/>
      <c r="AK56" s="863"/>
      <c r="AL56" s="863"/>
      <c r="AM56" s="863"/>
      <c r="AN56" s="863"/>
      <c r="AO56" s="871"/>
      <c r="AP56" s="871"/>
      <c r="AQ56" s="863"/>
      <c r="AR56" s="872"/>
      <c r="AS56" s="872"/>
      <c r="AT56" s="871"/>
      <c r="AU56" s="871"/>
      <c r="AV56" s="871"/>
      <c r="AW56" s="871"/>
      <c r="AX56" s="873"/>
    </row>
    <row r="57" spans="2:50" s="947" customFormat="1" ht="50.1" customHeight="1" x14ac:dyDescent="0.25">
      <c r="B57" s="934" t="s">
        <v>2086</v>
      </c>
      <c r="C57" s="846" t="s">
        <v>2087</v>
      </c>
      <c r="D57" s="847"/>
      <c r="E57" s="862"/>
      <c r="F57" s="863"/>
      <c r="G57" s="863"/>
      <c r="H57" s="864"/>
      <c r="I57" s="865"/>
      <c r="J57" s="863"/>
      <c r="K57" s="863"/>
      <c r="L57" s="863"/>
      <c r="M57" s="863"/>
      <c r="N57" s="863"/>
      <c r="O57" s="863"/>
      <c r="P57" s="863"/>
      <c r="Q57" s="863"/>
      <c r="R57" s="866"/>
      <c r="S57" s="863"/>
      <c r="T57" s="863"/>
      <c r="U57" s="867"/>
      <c r="V57" s="851"/>
      <c r="W57" s="868"/>
      <c r="X57" s="869"/>
      <c r="Y57" s="870"/>
      <c r="Z57" s="869"/>
      <c r="AA57" s="869"/>
      <c r="AB57" s="869"/>
      <c r="AC57" s="869"/>
      <c r="AD57" s="869"/>
      <c r="AE57" s="869"/>
      <c r="AF57" s="869"/>
      <c r="AG57" s="869"/>
      <c r="AH57" s="869"/>
      <c r="AI57" s="869"/>
      <c r="AJ57" s="869"/>
      <c r="AK57" s="863"/>
      <c r="AL57" s="863"/>
      <c r="AM57" s="863"/>
      <c r="AN57" s="863"/>
      <c r="AO57" s="871"/>
      <c r="AP57" s="871"/>
      <c r="AQ57" s="863"/>
      <c r="AR57" s="872"/>
      <c r="AS57" s="872"/>
      <c r="AT57" s="871"/>
      <c r="AU57" s="871"/>
      <c r="AV57" s="871"/>
      <c r="AW57" s="871"/>
      <c r="AX57" s="873"/>
    </row>
    <row r="58" spans="2:50" s="947" customFormat="1" ht="50.1" customHeight="1" x14ac:dyDescent="0.25">
      <c r="B58" s="934" t="s">
        <v>2088</v>
      </c>
      <c r="C58" s="846" t="s">
        <v>2089</v>
      </c>
      <c r="D58" s="847"/>
      <c r="E58" s="862"/>
      <c r="F58" s="863"/>
      <c r="G58" s="863"/>
      <c r="H58" s="864"/>
      <c r="I58" s="865"/>
      <c r="J58" s="863"/>
      <c r="K58" s="863"/>
      <c r="L58" s="863"/>
      <c r="M58" s="863"/>
      <c r="N58" s="863"/>
      <c r="O58" s="863"/>
      <c r="P58" s="863"/>
      <c r="Q58" s="863"/>
      <c r="R58" s="866"/>
      <c r="S58" s="863"/>
      <c r="T58" s="863"/>
      <c r="U58" s="867"/>
      <c r="V58" s="851"/>
      <c r="W58" s="868"/>
      <c r="X58" s="869"/>
      <c r="Y58" s="870"/>
      <c r="Z58" s="869"/>
      <c r="AA58" s="869"/>
      <c r="AB58" s="869"/>
      <c r="AC58" s="869"/>
      <c r="AD58" s="869"/>
      <c r="AE58" s="869"/>
      <c r="AF58" s="869"/>
      <c r="AG58" s="869"/>
      <c r="AH58" s="869"/>
      <c r="AI58" s="869"/>
      <c r="AJ58" s="869"/>
      <c r="AK58" s="863"/>
      <c r="AL58" s="863"/>
      <c r="AM58" s="863"/>
      <c r="AN58" s="863"/>
      <c r="AO58" s="871"/>
      <c r="AP58" s="871"/>
      <c r="AQ58" s="863"/>
      <c r="AR58" s="872"/>
      <c r="AS58" s="872"/>
      <c r="AT58" s="871"/>
      <c r="AU58" s="871"/>
      <c r="AV58" s="871"/>
      <c r="AW58" s="871"/>
      <c r="AX58" s="873"/>
    </row>
    <row r="59" spans="2:50" s="947" customFormat="1" ht="50.1" customHeight="1" x14ac:dyDescent="0.25">
      <c r="B59" s="934" t="s">
        <v>2090</v>
      </c>
      <c r="C59" s="846" t="s">
        <v>2091</v>
      </c>
      <c r="D59" s="847"/>
      <c r="E59" s="862"/>
      <c r="F59" s="863"/>
      <c r="G59" s="863"/>
      <c r="H59" s="864"/>
      <c r="I59" s="865"/>
      <c r="J59" s="863"/>
      <c r="K59" s="863"/>
      <c r="L59" s="863"/>
      <c r="M59" s="863"/>
      <c r="N59" s="863"/>
      <c r="O59" s="863"/>
      <c r="P59" s="863"/>
      <c r="Q59" s="863"/>
      <c r="R59" s="866"/>
      <c r="S59" s="863"/>
      <c r="T59" s="863"/>
      <c r="U59" s="867"/>
      <c r="V59" s="851"/>
      <c r="W59" s="868"/>
      <c r="X59" s="869"/>
      <c r="Y59" s="870"/>
      <c r="Z59" s="869"/>
      <c r="AA59" s="869"/>
      <c r="AB59" s="869"/>
      <c r="AC59" s="869"/>
      <c r="AD59" s="869"/>
      <c r="AE59" s="869"/>
      <c r="AF59" s="869"/>
      <c r="AG59" s="869"/>
      <c r="AH59" s="869"/>
      <c r="AI59" s="869"/>
      <c r="AJ59" s="869"/>
      <c r="AK59" s="863"/>
      <c r="AL59" s="863"/>
      <c r="AM59" s="863"/>
      <c r="AN59" s="863"/>
      <c r="AO59" s="871"/>
      <c r="AP59" s="871"/>
      <c r="AQ59" s="863"/>
      <c r="AR59" s="872"/>
      <c r="AS59" s="872"/>
      <c r="AT59" s="871"/>
      <c r="AU59" s="871"/>
      <c r="AV59" s="871"/>
      <c r="AW59" s="871"/>
      <c r="AX59" s="873"/>
    </row>
    <row r="60" spans="2:50" s="947" customFormat="1" ht="50.1" customHeight="1" x14ac:dyDescent="0.25">
      <c r="B60" s="934" t="s">
        <v>2092</v>
      </c>
      <c r="C60" s="846" t="s">
        <v>2093</v>
      </c>
      <c r="D60" s="847"/>
      <c r="E60" s="862"/>
      <c r="F60" s="863"/>
      <c r="G60" s="863"/>
      <c r="H60" s="864"/>
      <c r="I60" s="865"/>
      <c r="J60" s="863"/>
      <c r="K60" s="863"/>
      <c r="L60" s="863"/>
      <c r="M60" s="863"/>
      <c r="N60" s="863"/>
      <c r="O60" s="863"/>
      <c r="P60" s="863"/>
      <c r="Q60" s="863"/>
      <c r="R60" s="866"/>
      <c r="S60" s="863"/>
      <c r="T60" s="863"/>
      <c r="U60" s="867"/>
      <c r="V60" s="851"/>
      <c r="W60" s="868"/>
      <c r="X60" s="869"/>
      <c r="Y60" s="870"/>
      <c r="Z60" s="869"/>
      <c r="AA60" s="869"/>
      <c r="AB60" s="869"/>
      <c r="AC60" s="869"/>
      <c r="AD60" s="869"/>
      <c r="AE60" s="869"/>
      <c r="AF60" s="869"/>
      <c r="AG60" s="869"/>
      <c r="AH60" s="869"/>
      <c r="AI60" s="869"/>
      <c r="AJ60" s="869"/>
      <c r="AK60" s="863"/>
      <c r="AL60" s="863"/>
      <c r="AM60" s="863"/>
      <c r="AN60" s="863"/>
      <c r="AO60" s="871"/>
      <c r="AP60" s="871"/>
      <c r="AQ60" s="863"/>
      <c r="AR60" s="872"/>
      <c r="AS60" s="872"/>
      <c r="AT60" s="871"/>
      <c r="AU60" s="871"/>
      <c r="AV60" s="871"/>
      <c r="AW60" s="871"/>
      <c r="AX60" s="873"/>
    </row>
    <row r="61" spans="2:50" s="947" customFormat="1" ht="50.1" customHeight="1" x14ac:dyDescent="0.25">
      <c r="B61" s="934" t="s">
        <v>2094</v>
      </c>
      <c r="C61" s="846" t="s">
        <v>2095</v>
      </c>
      <c r="D61" s="847"/>
      <c r="E61" s="862"/>
      <c r="F61" s="863"/>
      <c r="G61" s="863"/>
      <c r="H61" s="864"/>
      <c r="I61" s="865"/>
      <c r="J61" s="863"/>
      <c r="K61" s="863"/>
      <c r="L61" s="863"/>
      <c r="M61" s="863"/>
      <c r="N61" s="863"/>
      <c r="O61" s="863"/>
      <c r="P61" s="863"/>
      <c r="Q61" s="863"/>
      <c r="R61" s="866"/>
      <c r="S61" s="863"/>
      <c r="T61" s="863"/>
      <c r="U61" s="867"/>
      <c r="V61" s="851"/>
      <c r="W61" s="868"/>
      <c r="X61" s="869"/>
      <c r="Y61" s="870"/>
      <c r="Z61" s="869"/>
      <c r="AA61" s="869"/>
      <c r="AB61" s="869"/>
      <c r="AC61" s="869"/>
      <c r="AD61" s="869"/>
      <c r="AE61" s="869"/>
      <c r="AF61" s="869"/>
      <c r="AG61" s="869"/>
      <c r="AH61" s="869"/>
      <c r="AI61" s="869"/>
      <c r="AJ61" s="869"/>
      <c r="AK61" s="863"/>
      <c r="AL61" s="863"/>
      <c r="AM61" s="863"/>
      <c r="AN61" s="863"/>
      <c r="AO61" s="871"/>
      <c r="AP61" s="871"/>
      <c r="AQ61" s="863"/>
      <c r="AR61" s="872"/>
      <c r="AS61" s="872"/>
      <c r="AT61" s="871"/>
      <c r="AU61" s="871"/>
      <c r="AV61" s="871"/>
      <c r="AW61" s="871"/>
      <c r="AX61" s="873"/>
    </row>
    <row r="62" spans="2:50" s="947" customFormat="1" ht="50.1" customHeight="1" thickBot="1" x14ac:dyDescent="0.3">
      <c r="B62" s="935" t="s">
        <v>2096</v>
      </c>
      <c r="C62" s="848" t="s">
        <v>2097</v>
      </c>
      <c r="D62" s="849"/>
      <c r="E62" s="874"/>
      <c r="F62" s="875"/>
      <c r="G62" s="875"/>
      <c r="H62" s="876"/>
      <c r="I62" s="877"/>
      <c r="J62" s="875"/>
      <c r="K62" s="875"/>
      <c r="L62" s="875"/>
      <c r="M62" s="875"/>
      <c r="N62" s="875"/>
      <c r="O62" s="875"/>
      <c r="P62" s="875"/>
      <c r="Q62" s="875"/>
      <c r="R62" s="878"/>
      <c r="S62" s="875"/>
      <c r="T62" s="875"/>
      <c r="U62" s="879"/>
      <c r="V62" s="851"/>
      <c r="W62" s="880"/>
      <c r="X62" s="881"/>
      <c r="Y62" s="882"/>
      <c r="Z62" s="881"/>
      <c r="AA62" s="881"/>
      <c r="AB62" s="881"/>
      <c r="AC62" s="881"/>
      <c r="AD62" s="881"/>
      <c r="AE62" s="881"/>
      <c r="AF62" s="881"/>
      <c r="AG62" s="881"/>
      <c r="AH62" s="881"/>
      <c r="AI62" s="881"/>
      <c r="AJ62" s="881"/>
      <c r="AK62" s="875"/>
      <c r="AL62" s="875"/>
      <c r="AM62" s="875"/>
      <c r="AN62" s="875"/>
      <c r="AO62" s="875"/>
      <c r="AP62" s="875"/>
      <c r="AQ62" s="875"/>
      <c r="AR62" s="883"/>
      <c r="AS62" s="883"/>
      <c r="AT62" s="884"/>
      <c r="AU62" s="884"/>
      <c r="AV62" s="884"/>
      <c r="AW62" s="884"/>
      <c r="AX62" s="885"/>
    </row>
    <row r="65" ht="94.5" customHeight="1" x14ac:dyDescent="0.25"/>
    <row r="66" ht="94.5" customHeight="1" x14ac:dyDescent="0.25"/>
    <row r="67" ht="94.5" customHeight="1" x14ac:dyDescent="0.25"/>
    <row r="68" ht="94.5" customHeight="1" x14ac:dyDescent="0.25"/>
    <row r="69" ht="94.5" customHeight="1" x14ac:dyDescent="0.25"/>
    <row r="70" ht="94.5" customHeight="1" x14ac:dyDescent="0.25"/>
    <row r="71" ht="94.5" customHeight="1" x14ac:dyDescent="0.25"/>
    <row r="72" ht="94.5" customHeight="1" x14ac:dyDescent="0.25"/>
    <row r="73" ht="94.5" customHeight="1" x14ac:dyDescent="0.25"/>
    <row r="74" ht="94.5" customHeight="1" x14ac:dyDescent="0.25"/>
    <row r="75" ht="94.5" customHeight="1" x14ac:dyDescent="0.25"/>
    <row r="76" ht="94.5" customHeight="1" x14ac:dyDescent="0.25"/>
    <row r="77" ht="94.5" customHeight="1" x14ac:dyDescent="0.25"/>
    <row r="78" ht="94.5" customHeight="1" x14ac:dyDescent="0.25"/>
    <row r="79" ht="94.5" customHeight="1" x14ac:dyDescent="0.25"/>
    <row r="80" ht="94.5" customHeight="1" x14ac:dyDescent="0.25"/>
    <row r="81" ht="94.5" customHeight="1" x14ac:dyDescent="0.25"/>
    <row r="82" ht="94.5" customHeight="1" x14ac:dyDescent="0.25"/>
    <row r="83" ht="94.5" customHeight="1" x14ac:dyDescent="0.25"/>
    <row r="84" ht="94.5" customHeight="1" x14ac:dyDescent="0.25"/>
    <row r="85" ht="94.5" customHeight="1" x14ac:dyDescent="0.25"/>
    <row r="86" ht="94.5" customHeight="1" x14ac:dyDescent="0.25"/>
    <row r="87" ht="94.5" customHeight="1" x14ac:dyDescent="0.25"/>
    <row r="88" ht="94.5" customHeight="1" x14ac:dyDescent="0.25"/>
    <row r="89" ht="94.5" customHeight="1" x14ac:dyDescent="0.25"/>
    <row r="90" ht="94.5" customHeight="1" x14ac:dyDescent="0.25"/>
  </sheetData>
  <mergeCells count="60">
    <mergeCell ref="C37:D37"/>
    <mergeCell ref="C24:D24"/>
    <mergeCell ref="C25:D25"/>
    <mergeCell ref="C26:C28"/>
    <mergeCell ref="C29:C30"/>
    <mergeCell ref="AT2:AX2"/>
    <mergeCell ref="V2:AS2"/>
    <mergeCell ref="E2:U2"/>
    <mergeCell ref="C32:C34"/>
    <mergeCell ref="C35:C36"/>
    <mergeCell ref="C31:D31"/>
    <mergeCell ref="C15:C16"/>
    <mergeCell ref="C17:D17"/>
    <mergeCell ref="C18:C20"/>
    <mergeCell ref="C21:C22"/>
    <mergeCell ref="C23:D23"/>
    <mergeCell ref="C10:D10"/>
    <mergeCell ref="C11:D11"/>
    <mergeCell ref="C12:C14"/>
    <mergeCell ref="AR4:AS5"/>
    <mergeCell ref="Q5:Q6"/>
    <mergeCell ref="C50:AX50"/>
    <mergeCell ref="C38:D38"/>
    <mergeCell ref="C39:C41"/>
    <mergeCell ref="C42:C43"/>
    <mergeCell ref="C44:D44"/>
    <mergeCell ref="C45:C47"/>
    <mergeCell ref="C48:C49"/>
    <mergeCell ref="R5:R6"/>
    <mergeCell ref="S5:S6"/>
    <mergeCell ref="T5:T6"/>
    <mergeCell ref="C9:D9"/>
    <mergeCell ref="AK5:AL5"/>
    <mergeCell ref="C8:D8"/>
    <mergeCell ref="B4:D7"/>
    <mergeCell ref="V5:V6"/>
    <mergeCell ref="W5:W6"/>
    <mergeCell ref="X5:AI5"/>
    <mergeCell ref="P4:P6"/>
    <mergeCell ref="L5:M5"/>
    <mergeCell ref="Q4:T4"/>
    <mergeCell ref="U4:U6"/>
    <mergeCell ref="J4:M4"/>
    <mergeCell ref="N4:N6"/>
    <mergeCell ref="AV4:AW5"/>
    <mergeCell ref="AM5:AN5"/>
    <mergeCell ref="AX4:AX6"/>
    <mergeCell ref="X4:AP4"/>
    <mergeCell ref="AQ4:AQ6"/>
    <mergeCell ref="AO5:AP5"/>
    <mergeCell ref="AT4:AT6"/>
    <mergeCell ref="AU4:AU6"/>
    <mergeCell ref="E4:E6"/>
    <mergeCell ref="I5:I6"/>
    <mergeCell ref="J5:J6"/>
    <mergeCell ref="K5:K6"/>
    <mergeCell ref="O4:O6"/>
    <mergeCell ref="F4:H4"/>
    <mergeCell ref="F5:F6"/>
    <mergeCell ref="H5:H6"/>
  </mergeCells>
  <printOptions horizontalCentered="1" verticalCentered="1"/>
  <pageMargins left="3.937007874015748E-2" right="0.15748031496062992" top="0.47244094488188981" bottom="0.19685039370078741" header="0.23622047244094491" footer="0.15748031496062992"/>
  <pageSetup paperSize="9" scale="23" fitToWidth="0" fitToHeight="0" pageOrder="overThenDown" orientation="landscape" r:id="rId1"/>
  <headerFooter>
    <oddHeader>&amp;CFR
ANNEXE I</oddHeader>
    <oddFooter>&amp;CPage &amp;P</oddFooter>
  </headerFooter>
  <rowBreaks count="1" manualBreakCount="1">
    <brk id="36" min="1" max="49" man="1"/>
  </rowBreaks>
  <colBreaks count="2" manualBreakCount="2">
    <brk id="21" min="1" max="61" man="1"/>
    <brk id="45" min="1" max="61" man="1"/>
  </colBreaks>
  <ignoredErrors>
    <ignoredError sqref="E7:K7 B8:B62 M7:AX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X16"/>
  <sheetViews>
    <sheetView showGridLines="0" topLeftCell="I1" zoomScale="25" zoomScaleNormal="25" zoomScaleSheetLayoutView="50" workbookViewId="0">
      <selection activeCell="L77" sqref="L77"/>
    </sheetView>
  </sheetViews>
  <sheetFormatPr defaultColWidth="25.5546875" defaultRowHeight="13.8" x14ac:dyDescent="0.25"/>
  <cols>
    <col min="1" max="1" width="3" style="212" customWidth="1"/>
    <col min="2" max="3" width="25.5546875" style="212" customWidth="1"/>
    <col min="4" max="4" width="28.6640625" style="212" customWidth="1"/>
    <col min="5" max="5" width="25.33203125" style="212" customWidth="1"/>
    <col min="6" max="6" width="30.109375" style="212" customWidth="1"/>
    <col min="7" max="7" width="29.33203125" style="213" customWidth="1"/>
    <col min="8" max="8" width="31.88671875" style="213" customWidth="1"/>
    <col min="9" max="9" width="29.33203125" style="213" customWidth="1"/>
    <col min="10" max="10" width="22.109375" style="213" customWidth="1"/>
    <col min="11" max="11" width="24.44140625" style="213" customWidth="1"/>
    <col min="12" max="12" width="27.33203125" style="212" customWidth="1"/>
    <col min="13" max="13" width="33.44140625" style="212" customWidth="1"/>
    <col min="14" max="14" width="24.33203125" style="212" customWidth="1"/>
    <col min="15" max="15" width="32.6640625" style="212" customWidth="1"/>
    <col min="16" max="16" width="18.109375" style="212" customWidth="1"/>
    <col min="17" max="17" width="26.5546875" style="212" customWidth="1"/>
    <col min="18" max="18" width="10.6640625" style="212" bestFit="1" customWidth="1"/>
    <col min="19" max="19" width="22.109375" style="212" customWidth="1"/>
    <col min="20" max="20" width="21" style="212" customWidth="1"/>
    <col min="21" max="21" width="17.88671875" style="212" bestFit="1" customWidth="1"/>
    <col min="22" max="22" width="18.5546875" style="212" bestFit="1" customWidth="1"/>
    <col min="23" max="23" width="25" style="212" customWidth="1"/>
    <col min="24" max="24" width="28.33203125" style="212" customWidth="1"/>
    <col min="25" max="25" width="14.109375" style="212" bestFit="1" customWidth="1"/>
    <col min="26" max="26" width="21.5546875" style="212" bestFit="1" customWidth="1"/>
    <col min="27" max="27" width="14.109375" style="212" customWidth="1"/>
    <col min="28" max="28" width="14.109375" style="212" bestFit="1" customWidth="1"/>
    <col min="29" max="29" width="21.5546875" style="212" bestFit="1" customWidth="1"/>
    <col min="30" max="30" width="12.6640625" style="212" customWidth="1"/>
    <col min="31" max="31" width="24.6640625" style="212" customWidth="1"/>
    <col min="32" max="32" width="19.5546875" style="212" customWidth="1"/>
    <col min="33" max="33" width="14.109375" style="212" bestFit="1" customWidth="1"/>
    <col min="34" max="34" width="21.5546875" style="212" bestFit="1" customWidth="1"/>
    <col min="35" max="35" width="16.44140625" style="212" customWidth="1"/>
    <col min="36" max="36" width="14.109375" style="212" bestFit="1" customWidth="1"/>
    <col min="37" max="37" width="21.5546875" style="212" bestFit="1" customWidth="1"/>
    <col min="38" max="38" width="15.5546875" style="212" customWidth="1"/>
    <col min="39" max="39" width="27.5546875" style="212" bestFit="1" customWidth="1"/>
    <col min="40" max="40" width="17.6640625" style="212" bestFit="1" customWidth="1"/>
    <col min="41" max="41" width="18.88671875" style="212" customWidth="1"/>
    <col min="42" max="42" width="23.5546875" style="212" customWidth="1"/>
    <col min="43" max="43" width="27" style="212" customWidth="1"/>
    <col min="44" max="44" width="25" style="212" customWidth="1"/>
    <col min="45" max="46" width="16.109375" style="212" customWidth="1"/>
    <col min="47" max="47" width="26.6640625" style="214" customWidth="1"/>
    <col min="48" max="48" width="11" style="213" bestFit="1" customWidth="1"/>
    <col min="49" max="49" width="13.33203125" style="213" bestFit="1" customWidth="1"/>
    <col min="50" max="50" width="43" style="212" customWidth="1"/>
    <col min="51" max="254" width="11.44140625" style="212" customWidth="1"/>
    <col min="255" max="255" width="5.5546875" style="212" customWidth="1"/>
    <col min="256" max="16384" width="25.5546875" style="212"/>
  </cols>
  <sheetData>
    <row r="1" spans="1:50" ht="20.25" thickBot="1" x14ac:dyDescent="0.3">
      <c r="A1" s="211"/>
    </row>
    <row r="2" spans="1:50" s="1532" customFormat="1" ht="43.5" customHeight="1" thickBot="1" x14ac:dyDescent="0.55000000000000004">
      <c r="B2" s="2130" t="s">
        <v>2098</v>
      </c>
      <c r="C2" s="2131"/>
      <c r="D2" s="2131"/>
      <c r="E2" s="2131"/>
      <c r="F2" s="2131"/>
      <c r="G2" s="2131"/>
      <c r="H2" s="2131"/>
      <c r="I2" s="2131"/>
      <c r="J2" s="2131"/>
      <c r="K2" s="2131"/>
      <c r="L2" s="2131"/>
      <c r="M2" s="2131"/>
      <c r="N2" s="2131"/>
      <c r="O2" s="2131"/>
      <c r="P2" s="2131"/>
      <c r="Q2" s="2131"/>
      <c r="R2" s="2131"/>
      <c r="S2" s="2131"/>
      <c r="T2" s="2131"/>
      <c r="U2" s="2131"/>
      <c r="V2" s="2131"/>
      <c r="W2" s="2132"/>
      <c r="X2" s="2130" t="s">
        <v>2099</v>
      </c>
      <c r="Y2" s="2131"/>
      <c r="Z2" s="2131"/>
      <c r="AA2" s="2131"/>
      <c r="AB2" s="2131"/>
      <c r="AC2" s="2131"/>
      <c r="AD2" s="2131"/>
      <c r="AE2" s="2131"/>
      <c r="AF2" s="2131"/>
      <c r="AG2" s="2131"/>
      <c r="AH2" s="2131"/>
      <c r="AI2" s="2131"/>
      <c r="AJ2" s="2131"/>
      <c r="AK2" s="2131"/>
      <c r="AL2" s="2131"/>
      <c r="AM2" s="2131"/>
      <c r="AN2" s="2131"/>
      <c r="AO2" s="2131"/>
      <c r="AP2" s="2131"/>
      <c r="AQ2" s="2131"/>
      <c r="AR2" s="2131"/>
      <c r="AS2" s="2131"/>
      <c r="AT2" s="2131"/>
      <c r="AU2" s="2131"/>
      <c r="AV2" s="2131"/>
      <c r="AW2" s="2131"/>
      <c r="AX2" s="2132"/>
    </row>
    <row r="3" spans="1:50" ht="14.25" customHeight="1" thickBot="1" x14ac:dyDescent="0.25">
      <c r="B3" s="1552"/>
      <c r="C3" s="1553"/>
      <c r="D3" s="1553"/>
      <c r="E3" s="1553"/>
      <c r="F3" s="1553"/>
      <c r="G3" s="217"/>
      <c r="H3" s="217"/>
      <c r="I3" s="217"/>
      <c r="J3" s="217"/>
      <c r="K3" s="217"/>
      <c r="L3" s="1553"/>
      <c r="M3" s="1553"/>
      <c r="N3" s="1553"/>
      <c r="O3" s="1553"/>
      <c r="P3" s="1553"/>
      <c r="Q3" s="1553"/>
      <c r="R3" s="1553"/>
      <c r="S3" s="1553"/>
      <c r="T3" s="1553"/>
      <c r="U3" s="1553"/>
      <c r="V3" s="1553"/>
      <c r="W3" s="1553"/>
      <c r="X3" s="1553"/>
      <c r="Y3" s="1553"/>
      <c r="Z3" s="1553"/>
      <c r="AA3" s="1553"/>
      <c r="AB3" s="1553"/>
      <c r="AC3" s="1553"/>
      <c r="AD3" s="1553"/>
      <c r="AE3" s="1553"/>
      <c r="AF3" s="1553"/>
      <c r="AG3" s="1553"/>
      <c r="AH3" s="1553"/>
      <c r="AI3" s="1553"/>
      <c r="AJ3" s="1553"/>
      <c r="AK3" s="1553"/>
      <c r="AL3" s="1553"/>
      <c r="AM3" s="1553"/>
      <c r="AN3" s="1553"/>
      <c r="AO3" s="1553"/>
      <c r="AP3" s="1553"/>
      <c r="AQ3" s="1553"/>
      <c r="AR3" s="1553"/>
      <c r="AS3" s="1553"/>
      <c r="AT3" s="1553"/>
      <c r="AU3" s="1554"/>
      <c r="AV3" s="217"/>
      <c r="AW3" s="217"/>
      <c r="AX3" s="1555"/>
    </row>
    <row r="4" spans="1:50" ht="61.5" customHeight="1" x14ac:dyDescent="0.25">
      <c r="B4" s="2119" t="s">
        <v>2100</v>
      </c>
      <c r="C4" s="2119" t="s">
        <v>2101</v>
      </c>
      <c r="D4" s="2136" t="s">
        <v>2102</v>
      </c>
      <c r="E4" s="2136" t="s">
        <v>2103</v>
      </c>
      <c r="F4" s="2136" t="s">
        <v>2104</v>
      </c>
      <c r="G4" s="2136" t="s">
        <v>2105</v>
      </c>
      <c r="H4" s="2136" t="s">
        <v>2106</v>
      </c>
      <c r="I4" s="2138" t="s">
        <v>2107</v>
      </c>
      <c r="J4" s="2139" t="s">
        <v>2108</v>
      </c>
      <c r="K4" s="2140"/>
      <c r="L4" s="2141"/>
      <c r="M4" s="2136" t="s">
        <v>2109</v>
      </c>
      <c r="N4" s="2125" t="s">
        <v>2110</v>
      </c>
      <c r="O4" s="2126"/>
      <c r="P4" s="525"/>
      <c r="Q4" s="526" t="s">
        <v>2111</v>
      </c>
      <c r="R4" s="526"/>
      <c r="S4" s="526"/>
      <c r="T4" s="526"/>
      <c r="U4" s="526"/>
      <c r="V4" s="526"/>
      <c r="W4" s="526"/>
      <c r="X4" s="526"/>
      <c r="Y4" s="2133" t="s">
        <v>2112</v>
      </c>
      <c r="Z4" s="2134"/>
      <c r="AA4" s="2134"/>
      <c r="AB4" s="2134"/>
      <c r="AC4" s="2134"/>
      <c r="AD4" s="2134"/>
      <c r="AE4" s="2134"/>
      <c r="AF4" s="2135"/>
      <c r="AG4" s="2133" t="s">
        <v>2113</v>
      </c>
      <c r="AH4" s="2134"/>
      <c r="AI4" s="2134"/>
      <c r="AJ4" s="2134"/>
      <c r="AK4" s="2134"/>
      <c r="AL4" s="2134"/>
      <c r="AM4" s="2134"/>
      <c r="AN4" s="2134"/>
      <c r="AO4" s="2134"/>
      <c r="AP4" s="2134"/>
      <c r="AQ4" s="2134"/>
      <c r="AR4" s="2136" t="s">
        <v>2114</v>
      </c>
      <c r="AS4" s="2137" t="s">
        <v>2115</v>
      </c>
      <c r="AT4" s="2137"/>
      <c r="AU4" s="2142" t="s">
        <v>2116</v>
      </c>
      <c r="AV4" s="2142"/>
      <c r="AW4" s="2142"/>
      <c r="AX4" s="2143"/>
    </row>
    <row r="5" spans="1:50" ht="47.25" customHeight="1" x14ac:dyDescent="0.25">
      <c r="B5" s="2120"/>
      <c r="C5" s="2120"/>
      <c r="D5" s="2123"/>
      <c r="E5" s="2123"/>
      <c r="F5" s="2123"/>
      <c r="G5" s="2123"/>
      <c r="H5" s="2123"/>
      <c r="I5" s="2128"/>
      <c r="J5" s="2127" t="s">
        <v>2117</v>
      </c>
      <c r="K5" s="2127" t="s">
        <v>2118</v>
      </c>
      <c r="L5" s="2127" t="s">
        <v>2119</v>
      </c>
      <c r="M5" s="2123"/>
      <c r="N5" s="2122" t="s">
        <v>2120</v>
      </c>
      <c r="O5" s="2122" t="s">
        <v>2121</v>
      </c>
      <c r="P5" s="2151" t="s">
        <v>2122</v>
      </c>
      <c r="Q5" s="2122" t="s">
        <v>2123</v>
      </c>
      <c r="R5" s="2122" t="s">
        <v>2124</v>
      </c>
      <c r="S5" s="2122" t="s">
        <v>2125</v>
      </c>
      <c r="T5" s="2122" t="s">
        <v>2126</v>
      </c>
      <c r="U5" s="2122" t="s">
        <v>2127</v>
      </c>
      <c r="V5" s="2122" t="s">
        <v>2128</v>
      </c>
      <c r="W5" s="2122" t="s">
        <v>2129</v>
      </c>
      <c r="X5" s="2122" t="s">
        <v>2130</v>
      </c>
      <c r="Y5" s="2152" t="s">
        <v>2131</v>
      </c>
      <c r="Z5" s="2153"/>
      <c r="AA5" s="2154"/>
      <c r="AB5" s="2152" t="s">
        <v>2132</v>
      </c>
      <c r="AC5" s="2153"/>
      <c r="AD5" s="2154"/>
      <c r="AE5" s="2152" t="s">
        <v>2133</v>
      </c>
      <c r="AF5" s="2154"/>
      <c r="AG5" s="2144" t="s">
        <v>2134</v>
      </c>
      <c r="AH5" s="2144"/>
      <c r="AI5" s="2144"/>
      <c r="AJ5" s="2144"/>
      <c r="AK5" s="2144"/>
      <c r="AL5" s="2144"/>
      <c r="AM5" s="2137" t="s">
        <v>2135</v>
      </c>
      <c r="AN5" s="2137"/>
      <c r="AO5" s="2137"/>
      <c r="AP5" s="2137"/>
      <c r="AQ5" s="1574" t="s">
        <v>2136</v>
      </c>
      <c r="AR5" s="2123"/>
      <c r="AS5" s="2137"/>
      <c r="AT5" s="2137"/>
      <c r="AU5" s="2137" t="s">
        <v>2137</v>
      </c>
      <c r="AV5" s="2137" t="s">
        <v>2138</v>
      </c>
      <c r="AW5" s="2137"/>
      <c r="AX5" s="2148" t="s">
        <v>2139</v>
      </c>
    </row>
    <row r="6" spans="1:50" s="215" customFormat="1" ht="51" customHeight="1" x14ac:dyDescent="0.25">
      <c r="B6" s="2120"/>
      <c r="C6" s="2120"/>
      <c r="D6" s="2123"/>
      <c r="E6" s="2123"/>
      <c r="F6" s="2123"/>
      <c r="G6" s="2123"/>
      <c r="H6" s="2123"/>
      <c r="I6" s="2128"/>
      <c r="J6" s="2128"/>
      <c r="K6" s="2128"/>
      <c r="L6" s="2128"/>
      <c r="M6" s="2123"/>
      <c r="N6" s="2123"/>
      <c r="O6" s="2123"/>
      <c r="P6" s="2151"/>
      <c r="Q6" s="2123"/>
      <c r="R6" s="2123"/>
      <c r="S6" s="2123"/>
      <c r="T6" s="2123"/>
      <c r="U6" s="2123"/>
      <c r="V6" s="2123"/>
      <c r="W6" s="2123"/>
      <c r="X6" s="2123"/>
      <c r="Y6" s="2122" t="s">
        <v>2140</v>
      </c>
      <c r="Z6" s="2122" t="s">
        <v>2141</v>
      </c>
      <c r="AA6" s="2122" t="s">
        <v>2142</v>
      </c>
      <c r="AB6" s="2122" t="s">
        <v>2143</v>
      </c>
      <c r="AC6" s="2122" t="s">
        <v>2144</v>
      </c>
      <c r="AD6" s="2122" t="s">
        <v>2145</v>
      </c>
      <c r="AE6" s="2122" t="s">
        <v>2146</v>
      </c>
      <c r="AF6" s="2122" t="s">
        <v>2147</v>
      </c>
      <c r="AG6" s="2145" t="s">
        <v>2148</v>
      </c>
      <c r="AH6" s="2146"/>
      <c r="AI6" s="2147"/>
      <c r="AJ6" s="2137" t="s">
        <v>2149</v>
      </c>
      <c r="AK6" s="2137"/>
      <c r="AL6" s="2137"/>
      <c r="AM6" s="2122" t="s">
        <v>2150</v>
      </c>
      <c r="AN6" s="2122" t="s">
        <v>2151</v>
      </c>
      <c r="AO6" s="2122" t="s">
        <v>2152</v>
      </c>
      <c r="AP6" s="2122" t="s">
        <v>2153</v>
      </c>
      <c r="AQ6" s="2149" t="s">
        <v>2154</v>
      </c>
      <c r="AR6" s="2123"/>
      <c r="AS6" s="2137"/>
      <c r="AT6" s="2137"/>
      <c r="AU6" s="2137"/>
      <c r="AV6" s="2137"/>
      <c r="AW6" s="2137"/>
      <c r="AX6" s="2148"/>
    </row>
    <row r="7" spans="1:50" s="215" customFormat="1" ht="47.25" customHeight="1" x14ac:dyDescent="0.25">
      <c r="B7" s="2120"/>
      <c r="C7" s="2120"/>
      <c r="D7" s="2123"/>
      <c r="E7" s="2123"/>
      <c r="F7" s="2123"/>
      <c r="G7" s="2123"/>
      <c r="H7" s="2123"/>
      <c r="I7" s="2128"/>
      <c r="J7" s="2128"/>
      <c r="K7" s="2128"/>
      <c r="L7" s="2128"/>
      <c r="M7" s="2123"/>
      <c r="N7" s="2123"/>
      <c r="O7" s="2123"/>
      <c r="P7" s="2151"/>
      <c r="Q7" s="2123"/>
      <c r="R7" s="2123"/>
      <c r="S7" s="2123"/>
      <c r="T7" s="2123"/>
      <c r="U7" s="2123"/>
      <c r="V7" s="2123"/>
      <c r="W7" s="2123"/>
      <c r="X7" s="2123"/>
      <c r="Y7" s="2123"/>
      <c r="Z7" s="2123"/>
      <c r="AA7" s="2123"/>
      <c r="AB7" s="2123"/>
      <c r="AC7" s="2123"/>
      <c r="AD7" s="2123"/>
      <c r="AE7" s="2123"/>
      <c r="AF7" s="2123"/>
      <c r="AG7" s="2122" t="s">
        <v>2155</v>
      </c>
      <c r="AH7" s="2122" t="s">
        <v>2156</v>
      </c>
      <c r="AI7" s="2122" t="s">
        <v>2157</v>
      </c>
      <c r="AJ7" s="2122" t="s">
        <v>2158</v>
      </c>
      <c r="AK7" s="2122" t="s">
        <v>2159</v>
      </c>
      <c r="AL7" s="2122" t="s">
        <v>2160</v>
      </c>
      <c r="AM7" s="2123"/>
      <c r="AN7" s="2123"/>
      <c r="AO7" s="2123"/>
      <c r="AP7" s="2123"/>
      <c r="AQ7" s="2155"/>
      <c r="AR7" s="2123"/>
      <c r="AS7" s="2156" t="s">
        <v>2161</v>
      </c>
      <c r="AT7" s="2149" t="s">
        <v>2162</v>
      </c>
      <c r="AU7" s="2137"/>
      <c r="AV7" s="2137"/>
      <c r="AW7" s="2137"/>
      <c r="AX7" s="2148"/>
    </row>
    <row r="8" spans="1:50" s="216" customFormat="1" ht="47.25" customHeight="1" x14ac:dyDescent="0.25">
      <c r="B8" s="2121"/>
      <c r="C8" s="2121"/>
      <c r="D8" s="2124"/>
      <c r="E8" s="2124"/>
      <c r="F8" s="2124"/>
      <c r="G8" s="2124"/>
      <c r="H8" s="2124"/>
      <c r="I8" s="2129"/>
      <c r="J8" s="2129"/>
      <c r="K8" s="2129"/>
      <c r="L8" s="2129"/>
      <c r="M8" s="2124"/>
      <c r="N8" s="2124"/>
      <c r="O8" s="2124"/>
      <c r="P8" s="527"/>
      <c r="Q8" s="2124"/>
      <c r="R8" s="2124"/>
      <c r="S8" s="2124"/>
      <c r="T8" s="2124"/>
      <c r="U8" s="2124"/>
      <c r="V8" s="2124"/>
      <c r="W8" s="2124"/>
      <c r="X8" s="2124"/>
      <c r="Y8" s="2124"/>
      <c r="Z8" s="2124"/>
      <c r="AA8" s="2124"/>
      <c r="AB8" s="2124"/>
      <c r="AC8" s="2124"/>
      <c r="AD8" s="2124"/>
      <c r="AE8" s="2124"/>
      <c r="AF8" s="2124"/>
      <c r="AG8" s="2124"/>
      <c r="AH8" s="2124"/>
      <c r="AI8" s="2124"/>
      <c r="AJ8" s="2124"/>
      <c r="AK8" s="2124"/>
      <c r="AL8" s="2124"/>
      <c r="AM8" s="2124"/>
      <c r="AN8" s="2124"/>
      <c r="AO8" s="2124"/>
      <c r="AP8" s="2124"/>
      <c r="AQ8" s="2150"/>
      <c r="AR8" s="2124"/>
      <c r="AS8" s="2157"/>
      <c r="AT8" s="2150"/>
      <c r="AU8" s="2137"/>
      <c r="AV8" s="1548" t="s">
        <v>2163</v>
      </c>
      <c r="AW8" s="1548" t="s">
        <v>2164</v>
      </c>
      <c r="AX8" s="1549" t="s">
        <v>2165</v>
      </c>
    </row>
    <row r="9" spans="1:50" s="215" customFormat="1" ht="37.5" customHeight="1" x14ac:dyDescent="0.2">
      <c r="B9" s="528" t="s">
        <v>2166</v>
      </c>
      <c r="C9" s="1614" t="s">
        <v>2167</v>
      </c>
      <c r="D9" s="529" t="s">
        <v>2168</v>
      </c>
      <c r="E9" s="529" t="s">
        <v>2169</v>
      </c>
      <c r="F9" s="529" t="s">
        <v>2170</v>
      </c>
      <c r="G9" s="529" t="s">
        <v>2171</v>
      </c>
      <c r="H9" s="530" t="s">
        <v>2172</v>
      </c>
      <c r="I9" s="531" t="s">
        <v>2173</v>
      </c>
      <c r="J9" s="531" t="s">
        <v>2174</v>
      </c>
      <c r="K9" s="531" t="s">
        <v>2175</v>
      </c>
      <c r="L9" s="531" t="s">
        <v>2176</v>
      </c>
      <c r="M9" s="529" t="s">
        <v>2177</v>
      </c>
      <c r="N9" s="529" t="s">
        <v>2178</v>
      </c>
      <c r="O9" s="529" t="s">
        <v>2179</v>
      </c>
      <c r="P9" s="529" t="s">
        <v>2180</v>
      </c>
      <c r="Q9" s="529" t="s">
        <v>2181</v>
      </c>
      <c r="R9" s="529" t="s">
        <v>2182</v>
      </c>
      <c r="S9" s="529" t="s">
        <v>2183</v>
      </c>
      <c r="T9" s="529" t="s">
        <v>2184</v>
      </c>
      <c r="U9" s="532" t="s">
        <v>2185</v>
      </c>
      <c r="V9" s="532" t="s">
        <v>2186</v>
      </c>
      <c r="W9" s="532" t="s">
        <v>2187</v>
      </c>
      <c r="X9" s="532" t="s">
        <v>2188</v>
      </c>
      <c r="Y9" s="529" t="s">
        <v>2189</v>
      </c>
      <c r="Z9" s="529" t="s">
        <v>2190</v>
      </c>
      <c r="AA9" s="529" t="s">
        <v>2191</v>
      </c>
      <c r="AB9" s="532" t="s">
        <v>2192</v>
      </c>
      <c r="AC9" s="532" t="s">
        <v>2193</v>
      </c>
      <c r="AD9" s="532" t="s">
        <v>2194</v>
      </c>
      <c r="AE9" s="533" t="s">
        <v>2195</v>
      </c>
      <c r="AF9" s="533" t="s">
        <v>2196</v>
      </c>
      <c r="AG9" s="533" t="s">
        <v>2197</v>
      </c>
      <c r="AH9" s="533" t="s">
        <v>2198</v>
      </c>
      <c r="AI9" s="533" t="s">
        <v>2199</v>
      </c>
      <c r="AJ9" s="529" t="s">
        <v>2200</v>
      </c>
      <c r="AK9" s="529" t="s">
        <v>2201</v>
      </c>
      <c r="AL9" s="529" t="s">
        <v>2202</v>
      </c>
      <c r="AM9" s="529" t="s">
        <v>2203</v>
      </c>
      <c r="AN9" s="529" t="s">
        <v>2204</v>
      </c>
      <c r="AO9" s="529" t="s">
        <v>2205</v>
      </c>
      <c r="AP9" s="529" t="s">
        <v>2206</v>
      </c>
      <c r="AQ9" s="529" t="s">
        <v>2207</v>
      </c>
      <c r="AR9" s="529" t="s">
        <v>2208</v>
      </c>
      <c r="AS9" s="529" t="s">
        <v>2209</v>
      </c>
      <c r="AT9" s="533" t="s">
        <v>2210</v>
      </c>
      <c r="AU9" s="529" t="s">
        <v>2211</v>
      </c>
      <c r="AV9" s="529" t="s">
        <v>2212</v>
      </c>
      <c r="AW9" s="529" t="s">
        <v>2213</v>
      </c>
      <c r="AX9" s="534" t="s">
        <v>2214</v>
      </c>
    </row>
    <row r="10" spans="1:50" ht="99.9" customHeight="1" thickBot="1" x14ac:dyDescent="0.25">
      <c r="B10" s="1640"/>
      <c r="C10" s="1615"/>
      <c r="D10" s="1556"/>
      <c r="E10" s="1557"/>
      <c r="F10" s="1557"/>
      <c r="G10" s="1557"/>
      <c r="H10" s="1558"/>
      <c r="I10" s="1558"/>
      <c r="J10" s="1558"/>
      <c r="K10" s="1558"/>
      <c r="L10" s="1558"/>
      <c r="M10" s="1557"/>
      <c r="N10" s="1559"/>
      <c r="O10" s="1560"/>
      <c r="P10" s="1559"/>
      <c r="Q10" s="1561"/>
      <c r="R10" s="1561"/>
      <c r="S10" s="1561"/>
      <c r="T10" s="1561"/>
      <c r="U10" s="1561"/>
      <c r="V10" s="1561"/>
      <c r="W10" s="1561"/>
      <c r="X10" s="1560"/>
      <c r="Y10" s="1562"/>
      <c r="Z10" s="1563"/>
      <c r="AA10" s="1564"/>
      <c r="AB10" s="1562"/>
      <c r="AC10" s="1563"/>
      <c r="AD10" s="1563"/>
      <c r="AE10" s="1563"/>
      <c r="AF10" s="1564"/>
      <c r="AG10" s="1562"/>
      <c r="AH10" s="1563"/>
      <c r="AI10" s="1564"/>
      <c r="AJ10" s="1562"/>
      <c r="AK10" s="1563"/>
      <c r="AL10" s="1564"/>
      <c r="AM10" s="1559"/>
      <c r="AN10" s="1563"/>
      <c r="AO10" s="1561"/>
      <c r="AP10" s="1561"/>
      <c r="AQ10" s="1564"/>
      <c r="AR10" s="1557"/>
      <c r="AS10" s="1557"/>
      <c r="AT10" s="1556"/>
      <c r="AU10" s="1565"/>
      <c r="AV10" s="1566"/>
      <c r="AW10" s="1567"/>
      <c r="AX10" s="1568"/>
    </row>
    <row r="11" spans="1:50" ht="21.9" customHeight="1" x14ac:dyDescent="0.25">
      <c r="B11" s="220"/>
      <c r="C11" s="220"/>
      <c r="D11" s="220"/>
      <c r="E11" s="220"/>
      <c r="F11" s="220"/>
      <c r="G11" s="221"/>
      <c r="H11" s="221"/>
      <c r="I11" s="221"/>
      <c r="J11" s="221"/>
      <c r="K11" s="221"/>
      <c r="L11" s="220"/>
      <c r="M11" s="220"/>
      <c r="N11" s="220"/>
      <c r="O11" s="220"/>
      <c r="P11" s="220"/>
      <c r="Q11" s="220"/>
      <c r="R11" s="220"/>
      <c r="S11" s="220"/>
      <c r="T11" s="220"/>
      <c r="U11" s="220"/>
      <c r="V11" s="220"/>
      <c r="W11" s="220"/>
      <c r="X11" s="220"/>
      <c r="Y11" s="222"/>
      <c r="Z11" s="222"/>
      <c r="AA11" s="222"/>
      <c r="AB11" s="222"/>
      <c r="AC11" s="222"/>
      <c r="AD11" s="222"/>
      <c r="AE11" s="222"/>
      <c r="AF11" s="222"/>
      <c r="AG11" s="223"/>
      <c r="AH11" s="223"/>
      <c r="AI11" s="223"/>
      <c r="AJ11" s="222"/>
      <c r="AK11" s="222"/>
      <c r="AL11" s="222"/>
      <c r="AM11" s="223"/>
      <c r="AN11" s="223"/>
      <c r="AO11" s="223"/>
      <c r="AP11" s="223"/>
      <c r="AQ11" s="223"/>
      <c r="AR11" s="223"/>
      <c r="AS11" s="223"/>
      <c r="AT11" s="223"/>
    </row>
    <row r="12" spans="1:50" ht="21.9" customHeight="1" x14ac:dyDescent="0.25">
      <c r="B12" s="220"/>
      <c r="C12" s="220"/>
      <c r="D12" s="220"/>
      <c r="E12" s="220"/>
      <c r="F12" s="220"/>
      <c r="G12" s="221"/>
      <c r="H12" s="221"/>
      <c r="I12" s="221"/>
      <c r="J12" s="221"/>
      <c r="K12" s="221"/>
      <c r="L12" s="220"/>
      <c r="M12" s="220"/>
      <c r="N12" s="220"/>
      <c r="O12" s="220"/>
      <c r="P12" s="220"/>
      <c r="Q12" s="220"/>
      <c r="R12" s="220"/>
      <c r="S12" s="220"/>
      <c r="T12" s="220"/>
      <c r="U12" s="220"/>
      <c r="V12" s="220"/>
      <c r="W12" s="220"/>
      <c r="X12" s="220"/>
      <c r="Y12" s="222"/>
      <c r="Z12" s="222"/>
      <c r="AA12" s="222"/>
      <c r="AB12" s="222"/>
      <c r="AC12" s="222"/>
      <c r="AD12" s="222"/>
      <c r="AE12" s="222"/>
      <c r="AF12" s="222"/>
      <c r="AG12" s="223"/>
      <c r="AH12" s="223"/>
      <c r="AI12" s="223"/>
      <c r="AJ12" s="222"/>
      <c r="AK12" s="222"/>
      <c r="AL12" s="222"/>
      <c r="AM12" s="223"/>
      <c r="AN12" s="223"/>
      <c r="AO12" s="223"/>
      <c r="AP12" s="223"/>
      <c r="AQ12" s="223"/>
      <c r="AR12" s="223"/>
      <c r="AS12" s="223"/>
      <c r="AT12" s="223"/>
      <c r="AV12" s="224"/>
      <c r="AW12" s="224"/>
    </row>
    <row r="13" spans="1:50" ht="21.9" customHeight="1" x14ac:dyDescent="0.25">
      <c r="B13" s="220"/>
      <c r="C13" s="220"/>
      <c r="D13" s="220"/>
      <c r="E13" s="220"/>
      <c r="F13" s="220"/>
      <c r="G13" s="221"/>
      <c r="H13" s="221"/>
      <c r="I13" s="221"/>
      <c r="J13" s="221"/>
      <c r="K13" s="221"/>
      <c r="L13" s="220"/>
      <c r="M13" s="220"/>
      <c r="N13" s="220"/>
      <c r="O13" s="220"/>
      <c r="P13" s="220"/>
      <c r="Q13" s="220"/>
      <c r="R13" s="220"/>
      <c r="S13" s="220"/>
      <c r="T13" s="220"/>
      <c r="U13" s="220"/>
      <c r="V13" s="220"/>
      <c r="W13" s="220"/>
      <c r="X13" s="220"/>
      <c r="Y13" s="225"/>
      <c r="Z13" s="225"/>
      <c r="AA13" s="225"/>
      <c r="AB13" s="225"/>
      <c r="AC13" s="225"/>
      <c r="AD13" s="225"/>
      <c r="AE13" s="225"/>
      <c r="AF13" s="225"/>
      <c r="AG13" s="223"/>
      <c r="AH13" s="223"/>
      <c r="AI13" s="223"/>
      <c r="AJ13" s="225"/>
      <c r="AK13" s="225"/>
      <c r="AL13" s="225"/>
      <c r="AM13" s="223"/>
      <c r="AN13" s="223"/>
      <c r="AO13" s="223"/>
      <c r="AP13" s="223"/>
      <c r="AQ13" s="223"/>
      <c r="AR13" s="223"/>
      <c r="AS13" s="223"/>
      <c r="AT13" s="223"/>
    </row>
    <row r="14" spans="1:50" ht="21.9" customHeight="1" x14ac:dyDescent="0.25">
      <c r="B14" s="220"/>
      <c r="C14" s="220"/>
      <c r="D14" s="225"/>
      <c r="E14" s="225"/>
      <c r="F14" s="225"/>
      <c r="G14" s="226"/>
      <c r="H14" s="226"/>
      <c r="I14" s="226"/>
      <c r="J14" s="226"/>
      <c r="K14" s="226"/>
      <c r="L14" s="225"/>
      <c r="M14" s="225"/>
      <c r="N14" s="225"/>
      <c r="O14" s="225"/>
      <c r="P14" s="225"/>
      <c r="Q14" s="225"/>
      <c r="R14" s="225"/>
      <c r="S14" s="225"/>
      <c r="T14" s="225"/>
      <c r="U14" s="225"/>
      <c r="V14" s="225"/>
      <c r="W14" s="225"/>
      <c r="X14" s="225"/>
      <c r="Y14" s="222"/>
      <c r="Z14" s="222"/>
      <c r="AA14" s="222"/>
      <c r="AB14" s="222"/>
      <c r="AC14" s="222"/>
      <c r="AD14" s="222"/>
      <c r="AE14" s="222"/>
      <c r="AF14" s="222"/>
      <c r="AG14" s="227"/>
      <c r="AH14" s="227"/>
      <c r="AI14" s="227"/>
      <c r="AJ14" s="222"/>
      <c r="AK14" s="222"/>
      <c r="AL14" s="222"/>
      <c r="AM14" s="227"/>
      <c r="AN14" s="227"/>
      <c r="AO14" s="227"/>
      <c r="AP14" s="227"/>
      <c r="AQ14" s="227"/>
      <c r="AR14" s="227"/>
      <c r="AS14" s="227"/>
      <c r="AT14" s="227"/>
    </row>
    <row r="15" spans="1:50" ht="21.9" customHeight="1" x14ac:dyDescent="0.25">
      <c r="B15" s="220"/>
      <c r="C15" s="220"/>
      <c r="D15" s="222"/>
      <c r="E15" s="222"/>
      <c r="F15" s="222"/>
      <c r="G15" s="228"/>
      <c r="H15" s="228"/>
      <c r="I15" s="228"/>
      <c r="J15" s="228"/>
      <c r="K15" s="228"/>
      <c r="L15" s="222"/>
      <c r="M15" s="222"/>
      <c r="N15" s="222"/>
      <c r="O15" s="222"/>
      <c r="P15" s="222"/>
      <c r="Q15" s="222"/>
      <c r="R15" s="222"/>
      <c r="S15" s="222"/>
      <c r="T15" s="222"/>
      <c r="U15" s="222"/>
      <c r="V15" s="222"/>
      <c r="W15" s="222"/>
      <c r="X15" s="222"/>
      <c r="Y15" s="222"/>
      <c r="Z15" s="222"/>
      <c r="AA15" s="222"/>
      <c r="AB15" s="222"/>
      <c r="AC15" s="222"/>
      <c r="AD15" s="222"/>
      <c r="AE15" s="222"/>
      <c r="AF15" s="222"/>
      <c r="AJ15" s="222"/>
      <c r="AK15" s="222"/>
      <c r="AL15" s="222"/>
    </row>
    <row r="16" spans="1:50" ht="21.9" customHeight="1" x14ac:dyDescent="0.25">
      <c r="B16" s="220"/>
      <c r="C16" s="220"/>
      <c r="D16" s="222"/>
      <c r="E16" s="222"/>
      <c r="F16" s="222"/>
      <c r="G16" s="228"/>
      <c r="H16" s="228"/>
      <c r="I16" s="228"/>
      <c r="J16" s="228"/>
      <c r="K16" s="228"/>
      <c r="L16" s="222"/>
      <c r="M16" s="222"/>
      <c r="N16" s="222"/>
      <c r="O16" s="222"/>
      <c r="P16" s="222"/>
      <c r="Q16" s="222"/>
      <c r="R16" s="222"/>
      <c r="S16" s="222"/>
      <c r="T16" s="222"/>
      <c r="U16" s="222"/>
      <c r="V16" s="222"/>
      <c r="W16" s="222"/>
      <c r="X16" s="222"/>
    </row>
  </sheetData>
  <mergeCells count="63">
    <mergeCell ref="AQ6:AQ8"/>
    <mergeCell ref="AG7:AG8"/>
    <mergeCell ref="AS7:AS8"/>
    <mergeCell ref="AH7:AH8"/>
    <mergeCell ref="AL7:AL8"/>
    <mergeCell ref="AC6:AC8"/>
    <mergeCell ref="O5:O8"/>
    <mergeCell ref="X5:X8"/>
    <mergeCell ref="AI7:AI8"/>
    <mergeCell ref="P5:P7"/>
    <mergeCell ref="Y5:AA5"/>
    <mergeCell ref="AB5:AD5"/>
    <mergeCell ref="AD6:AD8"/>
    <mergeCell ref="AE6:AE8"/>
    <mergeCell ref="AF6:AF8"/>
    <mergeCell ref="Y6:Y8"/>
    <mergeCell ref="Z6:Z8"/>
    <mergeCell ref="AA6:AA8"/>
    <mergeCell ref="AB6:AB8"/>
    <mergeCell ref="AE5:AF5"/>
    <mergeCell ref="AU4:AX4"/>
    <mergeCell ref="AG5:AL5"/>
    <mergeCell ref="AG6:AI6"/>
    <mergeCell ref="AR4:AR8"/>
    <mergeCell ref="AJ6:AL6"/>
    <mergeCell ref="AM6:AM8"/>
    <mergeCell ref="AU5:AU8"/>
    <mergeCell ref="AX5:AX7"/>
    <mergeCell ref="AS4:AT6"/>
    <mergeCell ref="AV5:AW7"/>
    <mergeCell ref="AP6:AP8"/>
    <mergeCell ref="AJ7:AJ8"/>
    <mergeCell ref="AN6:AN8"/>
    <mergeCell ref="AO6:AO8"/>
    <mergeCell ref="AT7:AT8"/>
    <mergeCell ref="AK7:AK8"/>
    <mergeCell ref="X2:AX2"/>
    <mergeCell ref="B2:W2"/>
    <mergeCell ref="Y4:AF4"/>
    <mergeCell ref="AG4:AQ4"/>
    <mergeCell ref="R5:R8"/>
    <mergeCell ref="B4:B8"/>
    <mergeCell ref="D4:D8"/>
    <mergeCell ref="E4:E8"/>
    <mergeCell ref="F4:F8"/>
    <mergeCell ref="G4:G8"/>
    <mergeCell ref="AM5:AP5"/>
    <mergeCell ref="H4:H8"/>
    <mergeCell ref="I4:I8"/>
    <mergeCell ref="J4:L4"/>
    <mergeCell ref="M4:M8"/>
    <mergeCell ref="W5:W8"/>
    <mergeCell ref="C4:C8"/>
    <mergeCell ref="S5:S8"/>
    <mergeCell ref="T5:T8"/>
    <mergeCell ref="Q5:Q8"/>
    <mergeCell ref="V5:V8"/>
    <mergeCell ref="N4:O4"/>
    <mergeCell ref="U5:U8"/>
    <mergeCell ref="J5:J8"/>
    <mergeCell ref="K5:K8"/>
    <mergeCell ref="L5:L8"/>
    <mergeCell ref="N5:N8"/>
  </mergeCells>
  <printOptions horizontalCentered="1" verticalCentered="1"/>
  <pageMargins left="0.19685039370078741" right="0.15748031496062992" top="0" bottom="0" header="0" footer="0"/>
  <pageSetup paperSize="9" scale="26" fitToWidth="2" fitToHeight="0" pageOrder="overThenDown" orientation="landscape" cellComments="asDisplayed" r:id="rId1"/>
  <headerFooter>
    <oddHeader>&amp;CFR
ANNEXE I</oddHeader>
    <oddFooter>&amp;CPage &amp;P</oddFooter>
  </headerFooter>
  <colBreaks count="1" manualBreakCount="1">
    <brk id="28" min="1" max="9" man="1"/>
  </colBreaks>
  <ignoredErrors>
    <ignoredError sqref="D9:AX9 B9:C9"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Q24"/>
  <sheetViews>
    <sheetView showGridLines="0" view="pageLayout" zoomScale="40" zoomScaleNormal="100" zoomScalePageLayoutView="40" workbookViewId="0">
      <selection activeCell="C10" sqref="C10"/>
    </sheetView>
  </sheetViews>
  <sheetFormatPr defaultColWidth="11.44140625" defaultRowHeight="12.6" x14ac:dyDescent="0.2"/>
  <cols>
    <col min="1" max="1" width="3.88671875" style="231" customWidth="1"/>
    <col min="2" max="2" width="11.109375" style="231" customWidth="1"/>
    <col min="3" max="3" width="54.88671875" style="230" customWidth="1"/>
    <col min="4" max="6" width="12.5546875" style="231" customWidth="1"/>
    <col min="7" max="10" width="13.44140625" style="231" customWidth="1"/>
    <col min="11" max="11" width="28.5546875" style="231" customWidth="1"/>
    <col min="12" max="12" width="23" style="231" customWidth="1"/>
    <col min="13" max="14" width="41.109375" style="231" customWidth="1"/>
    <col min="15" max="15" width="38.33203125" style="231" customWidth="1"/>
    <col min="16" max="16" width="43" style="231" customWidth="1"/>
    <col min="17" max="16384" width="11.44140625" style="231"/>
  </cols>
  <sheetData>
    <row r="1" spans="1:17" ht="15" customHeight="1" thickBot="1" x14ac:dyDescent="0.35">
      <c r="A1" s="229"/>
      <c r="B1" s="229"/>
    </row>
    <row r="2" spans="1:17" s="1523" customFormat="1" ht="38.25" customHeight="1" thickBot="1" x14ac:dyDescent="0.45">
      <c r="B2" s="2177" t="s">
        <v>2215</v>
      </c>
      <c r="C2" s="2178"/>
      <c r="D2" s="2178"/>
      <c r="E2" s="2178"/>
      <c r="F2" s="2178"/>
      <c r="G2" s="2178"/>
      <c r="H2" s="2178"/>
      <c r="I2" s="2178"/>
      <c r="J2" s="2178"/>
      <c r="K2" s="2178"/>
      <c r="L2" s="2178"/>
      <c r="M2" s="2178"/>
      <c r="N2" s="2178"/>
      <c r="O2" s="2178"/>
      <c r="P2" s="2179"/>
    </row>
    <row r="3" spans="1:17" ht="15" customHeight="1" thickBot="1" x14ac:dyDescent="0.25"/>
    <row r="4" spans="1:17" s="232" customFormat="1" ht="54" customHeight="1" x14ac:dyDescent="0.3">
      <c r="B4" s="2167" t="s">
        <v>2216</v>
      </c>
      <c r="C4" s="2168"/>
      <c r="D4" s="936" t="s">
        <v>2217</v>
      </c>
      <c r="E4" s="937"/>
      <c r="F4" s="938"/>
      <c r="G4" s="936" t="s">
        <v>2218</v>
      </c>
      <c r="H4" s="937"/>
      <c r="I4" s="938"/>
      <c r="J4" s="2171" t="s">
        <v>2219</v>
      </c>
      <c r="K4" s="2173" t="s">
        <v>2220</v>
      </c>
      <c r="L4" s="2175" t="s">
        <v>2221</v>
      </c>
      <c r="M4" s="2175"/>
      <c r="N4" s="2175"/>
      <c r="O4" s="2175"/>
      <c r="P4" s="2176"/>
      <c r="Q4" s="233"/>
    </row>
    <row r="5" spans="1:17" s="230" customFormat="1" ht="58.5" customHeight="1" x14ac:dyDescent="0.2">
      <c r="B5" s="2169"/>
      <c r="C5" s="2161"/>
      <c r="D5" s="2159" t="s">
        <v>2222</v>
      </c>
      <c r="E5" s="2159" t="s">
        <v>2223</v>
      </c>
      <c r="F5" s="2159" t="s">
        <v>2224</v>
      </c>
      <c r="G5" s="2159" t="s">
        <v>2225</v>
      </c>
      <c r="H5" s="2159" t="s">
        <v>2226</v>
      </c>
      <c r="I5" s="2159" t="s">
        <v>2227</v>
      </c>
      <c r="J5" s="2172"/>
      <c r="K5" s="2174"/>
      <c r="L5" s="2161" t="s">
        <v>2228</v>
      </c>
      <c r="M5" s="2163" t="s">
        <v>2229</v>
      </c>
      <c r="N5" s="2159" t="s">
        <v>2230</v>
      </c>
      <c r="O5" s="2159" t="s">
        <v>2231</v>
      </c>
      <c r="P5" s="2165" t="s">
        <v>2232</v>
      </c>
      <c r="Q5" s="232"/>
    </row>
    <row r="6" spans="1:17" s="230" customFormat="1" ht="56.25" customHeight="1" x14ac:dyDescent="0.2">
      <c r="B6" s="2169"/>
      <c r="C6" s="2161"/>
      <c r="D6" s="2160"/>
      <c r="E6" s="2160"/>
      <c r="F6" s="2160"/>
      <c r="G6" s="2160"/>
      <c r="H6" s="2160"/>
      <c r="I6" s="2160"/>
      <c r="J6" s="2164"/>
      <c r="K6" s="2160"/>
      <c r="L6" s="2162"/>
      <c r="M6" s="2164"/>
      <c r="N6" s="2160"/>
      <c r="O6" s="2160"/>
      <c r="P6" s="2166"/>
      <c r="Q6" s="232"/>
    </row>
    <row r="7" spans="1:17" s="230" customFormat="1" ht="38.25" customHeight="1" x14ac:dyDescent="0.2">
      <c r="B7" s="2170"/>
      <c r="C7" s="2162"/>
      <c r="D7" s="939" t="s">
        <v>2233</v>
      </c>
      <c r="E7" s="939" t="s">
        <v>2234</v>
      </c>
      <c r="F7" s="939" t="s">
        <v>2235</v>
      </c>
      <c r="G7" s="939" t="s">
        <v>2236</v>
      </c>
      <c r="H7" s="939" t="s">
        <v>2237</v>
      </c>
      <c r="I7" s="939" t="s">
        <v>2238</v>
      </c>
      <c r="J7" s="939" t="s">
        <v>2239</v>
      </c>
      <c r="K7" s="940" t="s">
        <v>2240</v>
      </c>
      <c r="L7" s="939" t="s">
        <v>2241</v>
      </c>
      <c r="M7" s="941" t="s">
        <v>2242</v>
      </c>
      <c r="N7" s="942">
        <v>100</v>
      </c>
      <c r="O7" s="943">
        <v>110</v>
      </c>
      <c r="P7" s="944">
        <v>120</v>
      </c>
    </row>
    <row r="8" spans="1:17" s="230" customFormat="1" ht="66" customHeight="1" x14ac:dyDescent="0.2">
      <c r="B8" s="521" t="s">
        <v>2243</v>
      </c>
      <c r="C8" s="234" t="s">
        <v>2244</v>
      </c>
      <c r="D8" s="811"/>
      <c r="E8" s="812"/>
      <c r="F8" s="812"/>
      <c r="G8" s="813"/>
      <c r="H8" s="813"/>
      <c r="I8" s="813"/>
      <c r="J8" s="812"/>
      <c r="K8" s="812" t="s">
        <v>2245</v>
      </c>
      <c r="L8" s="813"/>
      <c r="M8" s="814"/>
      <c r="N8" s="814"/>
      <c r="O8" s="815"/>
      <c r="P8" s="826"/>
    </row>
    <row r="9" spans="1:17" s="230" customFormat="1" ht="66" customHeight="1" x14ac:dyDescent="0.2">
      <c r="B9" s="521" t="s">
        <v>2246</v>
      </c>
      <c r="C9" s="235" t="s">
        <v>2247</v>
      </c>
      <c r="D9" s="821"/>
      <c r="E9" s="797"/>
      <c r="F9" s="797"/>
      <c r="G9" s="797"/>
      <c r="H9" s="797"/>
      <c r="I9" s="797"/>
      <c r="J9" s="796"/>
      <c r="K9" s="796" t="s">
        <v>2248</v>
      </c>
      <c r="L9" s="797"/>
      <c r="M9" s="798"/>
      <c r="N9" s="798"/>
      <c r="O9" s="798"/>
      <c r="P9" s="799"/>
    </row>
    <row r="10" spans="1:17" s="230" customFormat="1" ht="39.9" customHeight="1" x14ac:dyDescent="0.2">
      <c r="B10" s="522"/>
      <c r="C10" s="524" t="s">
        <v>3241</v>
      </c>
      <c r="D10" s="800"/>
      <c r="E10" s="801"/>
      <c r="F10" s="801"/>
      <c r="G10" s="801"/>
      <c r="H10" s="801"/>
      <c r="I10" s="801"/>
      <c r="J10" s="801"/>
      <c r="K10" s="802"/>
      <c r="L10" s="801"/>
      <c r="M10" s="802"/>
      <c r="N10" s="802"/>
      <c r="O10" s="802"/>
      <c r="P10" s="803"/>
    </row>
    <row r="11" spans="1:17" ht="39.9" customHeight="1" x14ac:dyDescent="0.2">
      <c r="B11" s="521" t="s">
        <v>2249</v>
      </c>
      <c r="C11" s="236" t="s">
        <v>2250</v>
      </c>
      <c r="D11" s="554"/>
      <c r="E11" s="555"/>
      <c r="F11" s="555"/>
      <c r="G11" s="804"/>
      <c r="H11" s="804"/>
      <c r="I11" s="804"/>
      <c r="J11" s="805"/>
      <c r="K11" s="806"/>
      <c r="L11" s="805"/>
      <c r="M11" s="806"/>
      <c r="N11" s="806"/>
      <c r="O11" s="806"/>
      <c r="P11" s="807"/>
    </row>
    <row r="12" spans="1:17" ht="39.9" customHeight="1" x14ac:dyDescent="0.3">
      <c r="B12" s="521" t="s">
        <v>2251</v>
      </c>
      <c r="C12" s="236" t="s">
        <v>2252</v>
      </c>
      <c r="D12" s="554"/>
      <c r="E12" s="555"/>
      <c r="F12" s="555"/>
      <c r="G12" s="804"/>
      <c r="H12" s="804"/>
      <c r="I12" s="804"/>
      <c r="J12" s="805"/>
      <c r="K12" s="806"/>
      <c r="L12" s="805"/>
      <c r="M12" s="806"/>
      <c r="N12" s="806"/>
      <c r="O12" s="806"/>
      <c r="P12" s="807"/>
    </row>
    <row r="13" spans="1:17" ht="39.9" customHeight="1" x14ac:dyDescent="0.3">
      <c r="B13" s="521" t="s">
        <v>2253</v>
      </c>
      <c r="C13" s="236" t="s">
        <v>2254</v>
      </c>
      <c r="D13" s="554"/>
      <c r="E13" s="555"/>
      <c r="F13" s="555"/>
      <c r="G13" s="804"/>
      <c r="H13" s="804"/>
      <c r="I13" s="804"/>
      <c r="J13" s="805"/>
      <c r="K13" s="806"/>
      <c r="L13" s="805"/>
      <c r="M13" s="806"/>
      <c r="N13" s="806"/>
      <c r="O13" s="806"/>
      <c r="P13" s="807"/>
    </row>
    <row r="14" spans="1:17" ht="39.9" customHeight="1" x14ac:dyDescent="0.2">
      <c r="B14" s="521" t="s">
        <v>2255</v>
      </c>
      <c r="C14" s="236" t="s">
        <v>2256</v>
      </c>
      <c r="D14" s="554"/>
      <c r="E14" s="555"/>
      <c r="F14" s="555"/>
      <c r="G14" s="804"/>
      <c r="H14" s="804"/>
      <c r="I14" s="804"/>
      <c r="J14" s="805"/>
      <c r="K14" s="806"/>
      <c r="L14" s="805"/>
      <c r="M14" s="806"/>
      <c r="N14" s="806"/>
      <c r="O14" s="806"/>
      <c r="P14" s="807"/>
    </row>
    <row r="15" spans="1:17" ht="39.9" customHeight="1" x14ac:dyDescent="0.3">
      <c r="B15" s="521" t="s">
        <v>2257</v>
      </c>
      <c r="C15" s="236" t="s">
        <v>2258</v>
      </c>
      <c r="D15" s="554"/>
      <c r="E15" s="555"/>
      <c r="F15" s="555"/>
      <c r="G15" s="804"/>
      <c r="H15" s="804"/>
      <c r="I15" s="804"/>
      <c r="J15" s="805"/>
      <c r="K15" s="806"/>
      <c r="L15" s="805"/>
      <c r="M15" s="806"/>
      <c r="N15" s="806"/>
      <c r="O15" s="806"/>
      <c r="P15" s="807"/>
    </row>
    <row r="16" spans="1:17" ht="39.9" customHeight="1" x14ac:dyDescent="0.3">
      <c r="B16" s="521" t="s">
        <v>2259</v>
      </c>
      <c r="C16" s="236" t="s">
        <v>2260</v>
      </c>
      <c r="D16" s="554"/>
      <c r="E16" s="555"/>
      <c r="F16" s="555"/>
      <c r="G16" s="804"/>
      <c r="H16" s="804"/>
      <c r="I16" s="804"/>
      <c r="J16" s="805"/>
      <c r="K16" s="806"/>
      <c r="L16" s="805"/>
      <c r="M16" s="806"/>
      <c r="N16" s="806"/>
      <c r="O16" s="806"/>
      <c r="P16" s="807"/>
    </row>
    <row r="17" spans="2:16" ht="39.9" customHeight="1" x14ac:dyDescent="0.2">
      <c r="B17" s="521" t="s">
        <v>2261</v>
      </c>
      <c r="C17" s="236" t="s">
        <v>2262</v>
      </c>
      <c r="D17" s="554"/>
      <c r="E17" s="555"/>
      <c r="F17" s="555"/>
      <c r="G17" s="804"/>
      <c r="H17" s="804"/>
      <c r="I17" s="804"/>
      <c r="J17" s="805"/>
      <c r="K17" s="806"/>
      <c r="L17" s="805"/>
      <c r="M17" s="806"/>
      <c r="N17" s="806"/>
      <c r="O17" s="806"/>
      <c r="P17" s="807"/>
    </row>
    <row r="18" spans="2:16" ht="39.9" customHeight="1" x14ac:dyDescent="0.2">
      <c r="B18" s="521" t="s">
        <v>2263</v>
      </c>
      <c r="C18" s="236" t="s">
        <v>2264</v>
      </c>
      <c r="D18" s="554"/>
      <c r="E18" s="555"/>
      <c r="F18" s="555"/>
      <c r="G18" s="804"/>
      <c r="H18" s="804"/>
      <c r="I18" s="804"/>
      <c r="J18" s="805"/>
      <c r="K18" s="806"/>
      <c r="L18" s="805"/>
      <c r="M18" s="806"/>
      <c r="N18" s="806"/>
      <c r="O18" s="806"/>
      <c r="P18" s="807"/>
    </row>
    <row r="19" spans="2:16" ht="39.9" customHeight="1" x14ac:dyDescent="0.2">
      <c r="B19" s="522"/>
      <c r="C19" s="524" t="s">
        <v>3240</v>
      </c>
      <c r="D19" s="808"/>
      <c r="E19" s="805"/>
      <c r="F19" s="805"/>
      <c r="G19" s="809"/>
      <c r="H19" s="804"/>
      <c r="I19" s="804"/>
      <c r="J19" s="801"/>
      <c r="K19" s="806"/>
      <c r="L19" s="801"/>
      <c r="M19" s="806"/>
      <c r="N19" s="806"/>
      <c r="O19" s="806"/>
      <c r="P19" s="807"/>
    </row>
    <row r="20" spans="2:16" ht="39.9" customHeight="1" x14ac:dyDescent="0.2">
      <c r="B20" s="521" t="s">
        <v>2265</v>
      </c>
      <c r="C20" s="236" t="s">
        <v>2266</v>
      </c>
      <c r="D20" s="554"/>
      <c r="E20" s="555"/>
      <c r="F20" s="555"/>
      <c r="G20" s="810"/>
      <c r="H20" s="810"/>
      <c r="I20" s="810"/>
      <c r="J20" s="805"/>
      <c r="K20" s="806"/>
      <c r="L20" s="805"/>
      <c r="M20" s="806"/>
      <c r="N20" s="806"/>
      <c r="O20" s="806"/>
      <c r="P20" s="807"/>
    </row>
    <row r="21" spans="2:16" ht="39.9" customHeight="1" x14ac:dyDescent="0.3">
      <c r="B21" s="521" t="s">
        <v>2267</v>
      </c>
      <c r="C21" s="237" t="s">
        <v>2268</v>
      </c>
      <c r="D21" s="822"/>
      <c r="E21" s="823"/>
      <c r="F21" s="823"/>
      <c r="G21" s="556"/>
      <c r="H21" s="556"/>
      <c r="I21" s="556"/>
      <c r="J21" s="824"/>
      <c r="K21" s="825"/>
      <c r="L21" s="824"/>
      <c r="M21" s="825"/>
      <c r="N21" s="825"/>
      <c r="O21" s="825"/>
      <c r="P21" s="827"/>
    </row>
    <row r="22" spans="2:16" ht="66" customHeight="1" thickBot="1" x14ac:dyDescent="0.35">
      <c r="B22" s="523" t="s">
        <v>2269</v>
      </c>
      <c r="C22" s="238" t="s">
        <v>2270</v>
      </c>
      <c r="D22" s="816"/>
      <c r="E22" s="817"/>
      <c r="F22" s="817"/>
      <c r="G22" s="818"/>
      <c r="H22" s="818"/>
      <c r="I22" s="818"/>
      <c r="J22" s="817"/>
      <c r="K22" s="817" t="s">
        <v>2271</v>
      </c>
      <c r="L22" s="817"/>
      <c r="M22" s="819"/>
      <c r="N22" s="819"/>
      <c r="O22" s="819"/>
      <c r="P22" s="820"/>
    </row>
    <row r="23" spans="2:16" ht="16.5" customHeight="1" x14ac:dyDescent="0.2">
      <c r="C23" s="239"/>
      <c r="D23" s="240"/>
      <c r="E23" s="240"/>
      <c r="F23" s="240"/>
      <c r="G23" s="241"/>
      <c r="H23" s="241"/>
      <c r="I23" s="241"/>
      <c r="J23" s="241"/>
      <c r="K23" s="242"/>
      <c r="L23" s="242"/>
    </row>
    <row r="24" spans="2:16" ht="52.5" customHeight="1" x14ac:dyDescent="0.2">
      <c r="C24" s="2158"/>
      <c r="D24" s="2158"/>
      <c r="E24" s="2158"/>
      <c r="F24" s="2158"/>
      <c r="G24" s="2158"/>
      <c r="H24" s="2158"/>
      <c r="I24" s="2158"/>
      <c r="J24" s="2158"/>
      <c r="K24" s="2158"/>
      <c r="L24" s="2158"/>
      <c r="M24" s="2158"/>
      <c r="N24" s="2158"/>
      <c r="O24" s="2158"/>
      <c r="P24" s="2158"/>
    </row>
  </sheetData>
  <mergeCells count="17">
    <mergeCell ref="B2:P2"/>
    <mergeCell ref="C24:P24"/>
    <mergeCell ref="I5:I6"/>
    <mergeCell ref="L5:L6"/>
    <mergeCell ref="M5:M6"/>
    <mergeCell ref="N5:N6"/>
    <mergeCell ref="O5:O6"/>
    <mergeCell ref="P5:P6"/>
    <mergeCell ref="B4:C7"/>
    <mergeCell ref="J4:J6"/>
    <mergeCell ref="K4:K6"/>
    <mergeCell ref="L4:P4"/>
    <mergeCell ref="D5:D6"/>
    <mergeCell ref="E5:E6"/>
    <mergeCell ref="F5:F6"/>
    <mergeCell ref="G5:G6"/>
    <mergeCell ref="H5:H6"/>
  </mergeCells>
  <printOptions horizontalCentered="1" verticalCentered="1"/>
  <pageMargins left="0.31496062992125984" right="0.31496062992125984" top="0.98425196850393704" bottom="0.98425196850393704" header="0.51181102362204722" footer="0.51181102362204722"/>
  <pageSetup paperSize="9" scale="37" orientation="landscape" r:id="rId1"/>
  <headerFooter>
    <oddHeader>&amp;CFR
ANNEXE I</oddHeader>
    <oddFooter>&amp;C&amp;P</oddFooter>
  </headerFooter>
  <ignoredErrors>
    <ignoredError sqref="B8:B22 D7:P7"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O98"/>
  <sheetViews>
    <sheetView zoomScale="10" zoomScaleNormal="10" zoomScalePageLayoutView="10" workbookViewId="0">
      <selection activeCell="M36" activeCellId="1" sqref="K74 M36"/>
    </sheetView>
  </sheetViews>
  <sheetFormatPr defaultColWidth="11.44140625" defaultRowHeight="12.6" x14ac:dyDescent="0.2"/>
  <cols>
    <col min="1" max="1" width="3.109375" style="245" customWidth="1"/>
    <col min="2" max="2" width="6.44140625" style="245" bestFit="1" customWidth="1"/>
    <col min="3" max="3" width="24.6640625" style="244" customWidth="1"/>
    <col min="4" max="4" width="67.109375" style="244" customWidth="1"/>
    <col min="5" max="5" width="16" style="245" customWidth="1"/>
    <col min="6" max="6" width="17.109375" style="245" customWidth="1"/>
    <col min="7" max="7" width="21.44140625" style="245" customWidth="1"/>
    <col min="8" max="8" width="22.88671875" style="245" customWidth="1"/>
    <col min="9" max="9" width="17.109375" style="245" customWidth="1"/>
    <col min="10" max="10" width="20" style="245" customWidth="1"/>
    <col min="11" max="11" width="21.44140625" style="245" customWidth="1"/>
    <col min="12" max="12" width="15.5546875" style="245" customWidth="1"/>
    <col min="13" max="14" width="19.6640625" style="245" customWidth="1"/>
    <col min="15" max="15" width="20.33203125" style="245" customWidth="1"/>
    <col min="16" max="16384" width="11.44140625" style="245"/>
  </cols>
  <sheetData>
    <row r="1" spans="1:15" ht="11.25" customHeight="1" thickBot="1" x14ac:dyDescent="0.3">
      <c r="A1" s="243"/>
      <c r="B1" s="243"/>
    </row>
    <row r="2" spans="1:15" ht="33.75" customHeight="1" thickBot="1" x14ac:dyDescent="0.25">
      <c r="B2" s="2182" t="s">
        <v>2272</v>
      </c>
      <c r="C2" s="2183"/>
      <c r="D2" s="2183"/>
      <c r="E2" s="2183"/>
      <c r="F2" s="2183"/>
      <c r="G2" s="2183"/>
      <c r="H2" s="2183"/>
      <c r="I2" s="2183"/>
      <c r="J2" s="2183"/>
      <c r="K2" s="2183"/>
      <c r="L2" s="2183"/>
      <c r="M2" s="2183"/>
      <c r="N2" s="2184"/>
      <c r="O2" s="246"/>
    </row>
    <row r="3" spans="1:15" ht="13.5" thickBot="1" x14ac:dyDescent="0.25"/>
    <row r="4" spans="1:15" ht="49.5" customHeight="1" x14ac:dyDescent="0.2">
      <c r="B4" s="2185" t="s">
        <v>2273</v>
      </c>
      <c r="C4" s="2186"/>
      <c r="D4" s="2187"/>
      <c r="E4" s="2191" t="s">
        <v>2274</v>
      </c>
      <c r="F4" s="2191"/>
      <c r="G4" s="2191"/>
      <c r="H4" s="2191"/>
      <c r="I4" s="2191"/>
      <c r="J4" s="2191"/>
      <c r="K4" s="2192"/>
      <c r="L4" s="2193" t="s">
        <v>2275</v>
      </c>
      <c r="M4" s="2195" t="s">
        <v>2276</v>
      </c>
      <c r="N4" s="2196"/>
    </row>
    <row r="5" spans="1:15" s="244" customFormat="1" ht="78" customHeight="1" x14ac:dyDescent="0.2">
      <c r="B5" s="2188"/>
      <c r="C5" s="2189"/>
      <c r="D5" s="2190"/>
      <c r="E5" s="1714" t="s">
        <v>2277</v>
      </c>
      <c r="F5" s="1715" t="s">
        <v>2278</v>
      </c>
      <c r="G5" s="1715" t="s">
        <v>2279</v>
      </c>
      <c r="H5" s="1715" t="s">
        <v>2280</v>
      </c>
      <c r="I5" s="1715" t="s">
        <v>2281</v>
      </c>
      <c r="J5" s="1715" t="s">
        <v>2282</v>
      </c>
      <c r="K5" s="1715" t="s">
        <v>2283</v>
      </c>
      <c r="L5" s="2194"/>
      <c r="M5" s="1711" t="s">
        <v>2284</v>
      </c>
      <c r="N5" s="1716" t="s">
        <v>2285</v>
      </c>
    </row>
    <row r="6" spans="1:15" ht="21.75" customHeight="1" x14ac:dyDescent="0.2">
      <c r="B6" s="519" t="s">
        <v>2286</v>
      </c>
      <c r="C6" s="2180"/>
      <c r="D6" s="2181"/>
      <c r="E6" s="1717" t="s">
        <v>2287</v>
      </c>
      <c r="F6" s="1717" t="s">
        <v>2288</v>
      </c>
      <c r="G6" s="1717" t="s">
        <v>2289</v>
      </c>
      <c r="H6" s="1717" t="s">
        <v>2290</v>
      </c>
      <c r="I6" s="1717" t="s">
        <v>2291</v>
      </c>
      <c r="J6" s="1717" t="s">
        <v>2292</v>
      </c>
      <c r="K6" s="1717" t="s">
        <v>2293</v>
      </c>
      <c r="L6" s="1717" t="s">
        <v>2294</v>
      </c>
      <c r="M6" s="1717" t="s">
        <v>2295</v>
      </c>
      <c r="N6" s="1718" t="s">
        <v>2296</v>
      </c>
    </row>
    <row r="7" spans="1:15" ht="20.100000000000001" customHeight="1" x14ac:dyDescent="0.2">
      <c r="B7" s="519" t="s">
        <v>2297</v>
      </c>
      <c r="C7" s="2197" t="s">
        <v>2298</v>
      </c>
      <c r="D7" s="1719" t="s">
        <v>2299</v>
      </c>
      <c r="E7" s="1752"/>
      <c r="F7" s="1752"/>
      <c r="G7" s="1752"/>
      <c r="H7" s="1752"/>
      <c r="I7" s="1752"/>
      <c r="J7" s="1752"/>
      <c r="K7" s="1752"/>
      <c r="L7" s="1752"/>
      <c r="M7" s="1686"/>
      <c r="N7" s="247"/>
    </row>
    <row r="8" spans="1:15" ht="20.100000000000001" customHeight="1" x14ac:dyDescent="0.2">
      <c r="B8" s="519" t="s">
        <v>2300</v>
      </c>
      <c r="C8" s="2198"/>
      <c r="D8" s="1719" t="s">
        <v>2301</v>
      </c>
      <c r="E8" s="1753"/>
      <c r="F8" s="1753"/>
      <c r="G8" s="1753"/>
      <c r="H8" s="1753"/>
      <c r="I8" s="1753"/>
      <c r="J8" s="1753"/>
      <c r="K8" s="1753"/>
      <c r="L8" s="1753"/>
      <c r="M8" s="1757"/>
      <c r="N8" s="1758"/>
    </row>
    <row r="9" spans="1:15" ht="20.100000000000001" customHeight="1" x14ac:dyDescent="0.2">
      <c r="B9" s="519" t="s">
        <v>2302</v>
      </c>
      <c r="C9" s="2198"/>
      <c r="D9" s="1719" t="s">
        <v>2303</v>
      </c>
      <c r="E9" s="1753"/>
      <c r="F9" s="1753"/>
      <c r="G9" s="1753"/>
      <c r="H9" s="1753"/>
      <c r="I9" s="1753"/>
      <c r="J9" s="1753"/>
      <c r="K9" s="1753"/>
      <c r="L9" s="1753"/>
      <c r="M9" s="1687"/>
      <c r="N9" s="1688"/>
    </row>
    <row r="10" spans="1:15" ht="28.5" customHeight="1" x14ac:dyDescent="0.2">
      <c r="B10" s="519" t="s">
        <v>2304</v>
      </c>
      <c r="C10" s="2198"/>
      <c r="D10" s="1719" t="s">
        <v>2305</v>
      </c>
      <c r="E10" s="1753"/>
      <c r="F10" s="1753"/>
      <c r="G10" s="1753"/>
      <c r="H10" s="1753"/>
      <c r="I10" s="1753"/>
      <c r="J10" s="1753"/>
      <c r="K10" s="1753"/>
      <c r="L10" s="1753"/>
      <c r="M10" s="1687"/>
      <c r="N10" s="1688"/>
    </row>
    <row r="11" spans="1:15" ht="20.100000000000001" customHeight="1" x14ac:dyDescent="0.2">
      <c r="B11" s="519" t="s">
        <v>2306</v>
      </c>
      <c r="C11" s="2198"/>
      <c r="D11" s="1719" t="s">
        <v>2307</v>
      </c>
      <c r="E11" s="1753"/>
      <c r="F11" s="1753"/>
      <c r="G11" s="1753"/>
      <c r="H11" s="1753"/>
      <c r="I11" s="1753"/>
      <c r="J11" s="1753"/>
      <c r="K11" s="1753"/>
      <c r="L11" s="1753"/>
      <c r="M11" s="1687"/>
      <c r="N11" s="1688"/>
    </row>
    <row r="12" spans="1:15" ht="20.100000000000001" customHeight="1" x14ac:dyDescent="0.2">
      <c r="B12" s="519" t="s">
        <v>2308</v>
      </c>
      <c r="C12" s="2198"/>
      <c r="D12" s="1719" t="s">
        <v>2309</v>
      </c>
      <c r="E12" s="1753"/>
      <c r="F12" s="1753"/>
      <c r="G12" s="1753"/>
      <c r="H12" s="1753"/>
      <c r="I12" s="1753"/>
      <c r="J12" s="1753"/>
      <c r="K12" s="1753"/>
      <c r="L12" s="1753"/>
      <c r="M12" s="1687"/>
      <c r="N12" s="1688"/>
    </row>
    <row r="13" spans="1:15" ht="20.100000000000001" customHeight="1" x14ac:dyDescent="0.2">
      <c r="B13" s="1720" t="s">
        <v>2310</v>
      </c>
      <c r="C13" s="2198"/>
      <c r="D13" s="1719" t="s">
        <v>2311</v>
      </c>
      <c r="E13" s="1753"/>
      <c r="F13" s="1753"/>
      <c r="G13" s="1753"/>
      <c r="H13" s="1753"/>
      <c r="I13" s="1753"/>
      <c r="J13" s="1753"/>
      <c r="K13" s="1753"/>
      <c r="L13" s="1753"/>
      <c r="M13" s="1689"/>
      <c r="N13" s="1688"/>
    </row>
    <row r="14" spans="1:15" ht="31.5" customHeight="1" x14ac:dyDescent="0.2">
      <c r="B14" s="519" t="s">
        <v>2312</v>
      </c>
      <c r="C14" s="2198"/>
      <c r="D14" s="1719" t="s">
        <v>2313</v>
      </c>
      <c r="E14" s="1753"/>
      <c r="F14" s="1753"/>
      <c r="G14" s="1753"/>
      <c r="H14" s="1753"/>
      <c r="I14" s="1753"/>
      <c r="J14" s="1753"/>
      <c r="K14" s="1753"/>
      <c r="L14" s="1753"/>
      <c r="M14" s="1687"/>
      <c r="N14" s="1688"/>
    </row>
    <row r="15" spans="1:15" ht="20.100000000000001" customHeight="1" x14ac:dyDescent="0.2">
      <c r="B15" s="519" t="s">
        <v>2314</v>
      </c>
      <c r="C15" s="2197" t="s">
        <v>2315</v>
      </c>
      <c r="D15" s="1719" t="s">
        <v>2316</v>
      </c>
      <c r="E15" s="1752"/>
      <c r="F15" s="1752"/>
      <c r="G15" s="1752"/>
      <c r="H15" s="1752"/>
      <c r="I15" s="1752"/>
      <c r="J15" s="1752"/>
      <c r="K15" s="1752"/>
      <c r="L15" s="1752"/>
      <c r="M15" s="1686"/>
      <c r="N15" s="247"/>
    </row>
    <row r="16" spans="1:15" ht="20.100000000000001" customHeight="1" x14ac:dyDescent="0.2">
      <c r="B16" s="519" t="s">
        <v>2317</v>
      </c>
      <c r="C16" s="2198"/>
      <c r="D16" s="1719" t="s">
        <v>2318</v>
      </c>
      <c r="E16" s="1753"/>
      <c r="F16" s="1753"/>
      <c r="G16" s="1753"/>
      <c r="H16" s="1753"/>
      <c r="I16" s="1753"/>
      <c r="J16" s="1753"/>
      <c r="K16" s="1753"/>
      <c r="L16" s="1753"/>
      <c r="M16" s="1757"/>
      <c r="N16" s="1758"/>
    </row>
    <row r="17" spans="2:14" ht="20.100000000000001" customHeight="1" x14ac:dyDescent="0.2">
      <c r="B17" s="519" t="s">
        <v>2319</v>
      </c>
      <c r="C17" s="2198"/>
      <c r="D17" s="1719" t="s">
        <v>2320</v>
      </c>
      <c r="E17" s="1753"/>
      <c r="F17" s="1753"/>
      <c r="G17" s="1753"/>
      <c r="H17" s="1753"/>
      <c r="I17" s="1753"/>
      <c r="J17" s="1753"/>
      <c r="K17" s="1753"/>
      <c r="L17" s="1753"/>
      <c r="M17" s="1687"/>
      <c r="N17" s="1688"/>
    </row>
    <row r="18" spans="2:14" ht="28.5" customHeight="1" x14ac:dyDescent="0.2">
      <c r="B18" s="519" t="s">
        <v>2321</v>
      </c>
      <c r="C18" s="2198"/>
      <c r="D18" s="1719" t="s">
        <v>2322</v>
      </c>
      <c r="E18" s="1753"/>
      <c r="F18" s="1753"/>
      <c r="G18" s="1753"/>
      <c r="H18" s="1753"/>
      <c r="I18" s="1753"/>
      <c r="J18" s="1753"/>
      <c r="K18" s="1753"/>
      <c r="L18" s="1753"/>
      <c r="M18" s="1687"/>
      <c r="N18" s="1688"/>
    </row>
    <row r="19" spans="2:14" ht="20.100000000000001" customHeight="1" x14ac:dyDescent="0.2">
      <c r="B19" s="519" t="s">
        <v>2323</v>
      </c>
      <c r="C19" s="2198"/>
      <c r="D19" s="1719" t="s">
        <v>2324</v>
      </c>
      <c r="E19" s="1753"/>
      <c r="F19" s="1753"/>
      <c r="G19" s="1753"/>
      <c r="H19" s="1753"/>
      <c r="I19" s="1753"/>
      <c r="J19" s="1753"/>
      <c r="K19" s="1753"/>
      <c r="L19" s="1753"/>
      <c r="M19" s="1687"/>
      <c r="N19" s="1688"/>
    </row>
    <row r="20" spans="2:14" ht="20.100000000000001" customHeight="1" x14ac:dyDescent="0.2">
      <c r="B20" s="519" t="s">
        <v>2325</v>
      </c>
      <c r="C20" s="2198"/>
      <c r="D20" s="1719" t="s">
        <v>2326</v>
      </c>
      <c r="E20" s="1753"/>
      <c r="F20" s="1753"/>
      <c r="G20" s="1753"/>
      <c r="H20" s="1753"/>
      <c r="I20" s="1753"/>
      <c r="J20" s="1753"/>
      <c r="K20" s="1753"/>
      <c r="L20" s="1753"/>
      <c r="M20" s="1687"/>
      <c r="N20" s="1688"/>
    </row>
    <row r="21" spans="2:14" ht="20.100000000000001" customHeight="1" x14ac:dyDescent="0.2">
      <c r="B21" s="1720" t="s">
        <v>2327</v>
      </c>
      <c r="C21" s="2198"/>
      <c r="D21" s="1719" t="s">
        <v>2328</v>
      </c>
      <c r="E21" s="1753"/>
      <c r="F21" s="1753"/>
      <c r="G21" s="1753"/>
      <c r="H21" s="1753"/>
      <c r="I21" s="1753"/>
      <c r="J21" s="1753"/>
      <c r="K21" s="1753"/>
      <c r="L21" s="1753"/>
      <c r="M21" s="1689"/>
      <c r="N21" s="1688"/>
    </row>
    <row r="22" spans="2:14" ht="31.5" customHeight="1" x14ac:dyDescent="0.2">
      <c r="B22" s="519" t="s">
        <v>2329</v>
      </c>
      <c r="C22" s="2198"/>
      <c r="D22" s="1719" t="s">
        <v>2330</v>
      </c>
      <c r="E22" s="1753"/>
      <c r="F22" s="1753"/>
      <c r="G22" s="1753"/>
      <c r="H22" s="1753"/>
      <c r="I22" s="1753"/>
      <c r="J22" s="1753"/>
      <c r="K22" s="1753"/>
      <c r="L22" s="1753"/>
      <c r="M22" s="1687"/>
      <c r="N22" s="1688"/>
    </row>
    <row r="23" spans="2:14" ht="20.100000000000001" customHeight="1" x14ac:dyDescent="0.2">
      <c r="B23" s="519" t="s">
        <v>2331</v>
      </c>
      <c r="C23" s="2197" t="s">
        <v>2332</v>
      </c>
      <c r="D23" s="1719" t="s">
        <v>2333</v>
      </c>
      <c r="E23" s="1752"/>
      <c r="F23" s="1752"/>
      <c r="G23" s="1752"/>
      <c r="H23" s="1752"/>
      <c r="I23" s="1752"/>
      <c r="J23" s="1752"/>
      <c r="K23" s="1752"/>
      <c r="L23" s="1752"/>
      <c r="M23" s="1686"/>
      <c r="N23" s="247"/>
    </row>
    <row r="24" spans="2:14" ht="20.100000000000001" customHeight="1" x14ac:dyDescent="0.2">
      <c r="B24" s="519" t="s">
        <v>2334</v>
      </c>
      <c r="C24" s="2198"/>
      <c r="D24" s="1719" t="s">
        <v>2335</v>
      </c>
      <c r="E24" s="1753"/>
      <c r="F24" s="1753"/>
      <c r="G24" s="1753"/>
      <c r="H24" s="1753"/>
      <c r="I24" s="1753"/>
      <c r="J24" s="1753"/>
      <c r="K24" s="1753"/>
      <c r="L24" s="1753"/>
      <c r="M24" s="1757"/>
      <c r="N24" s="1758"/>
    </row>
    <row r="25" spans="2:14" ht="20.100000000000001" customHeight="1" x14ac:dyDescent="0.2">
      <c r="B25" s="519" t="s">
        <v>2336</v>
      </c>
      <c r="C25" s="2198"/>
      <c r="D25" s="1719" t="s">
        <v>2337</v>
      </c>
      <c r="E25" s="1753"/>
      <c r="F25" s="1753"/>
      <c r="G25" s="1753"/>
      <c r="H25" s="1753"/>
      <c r="I25" s="1753"/>
      <c r="J25" s="1753"/>
      <c r="K25" s="1753"/>
      <c r="L25" s="1753"/>
      <c r="M25" s="1687"/>
      <c r="N25" s="1688"/>
    </row>
    <row r="26" spans="2:14" ht="29.25" customHeight="1" x14ac:dyDescent="0.2">
      <c r="B26" s="519" t="s">
        <v>2338</v>
      </c>
      <c r="C26" s="2198"/>
      <c r="D26" s="1719" t="s">
        <v>2339</v>
      </c>
      <c r="E26" s="1753"/>
      <c r="F26" s="1753"/>
      <c r="G26" s="1753"/>
      <c r="H26" s="1753"/>
      <c r="I26" s="1753"/>
      <c r="J26" s="1753"/>
      <c r="K26" s="1753"/>
      <c r="L26" s="1753"/>
      <c r="M26" s="1687"/>
      <c r="N26" s="1688"/>
    </row>
    <row r="27" spans="2:14" ht="20.100000000000001" customHeight="1" x14ac:dyDescent="0.2">
      <c r="B27" s="519" t="s">
        <v>2340</v>
      </c>
      <c r="C27" s="2198"/>
      <c r="D27" s="1719" t="s">
        <v>2341</v>
      </c>
      <c r="E27" s="1753"/>
      <c r="F27" s="1753"/>
      <c r="G27" s="1753"/>
      <c r="H27" s="1753"/>
      <c r="I27" s="1753"/>
      <c r="J27" s="1753"/>
      <c r="K27" s="1753"/>
      <c r="L27" s="1753"/>
      <c r="M27" s="1687"/>
      <c r="N27" s="1688"/>
    </row>
    <row r="28" spans="2:14" ht="20.100000000000001" customHeight="1" x14ac:dyDescent="0.2">
      <c r="B28" s="519" t="s">
        <v>2342</v>
      </c>
      <c r="C28" s="2198"/>
      <c r="D28" s="1719" t="s">
        <v>2343</v>
      </c>
      <c r="E28" s="1753"/>
      <c r="F28" s="1753"/>
      <c r="G28" s="1753"/>
      <c r="H28" s="1753"/>
      <c r="I28" s="1753"/>
      <c r="J28" s="1753"/>
      <c r="K28" s="1753"/>
      <c r="L28" s="1753"/>
      <c r="M28" s="1687"/>
      <c r="N28" s="1688"/>
    </row>
    <row r="29" spans="2:14" ht="20.100000000000001" customHeight="1" x14ac:dyDescent="0.2">
      <c r="B29" s="1720" t="s">
        <v>2344</v>
      </c>
      <c r="C29" s="2198"/>
      <c r="D29" s="1719" t="s">
        <v>2345</v>
      </c>
      <c r="E29" s="1753"/>
      <c r="F29" s="1753"/>
      <c r="G29" s="1753"/>
      <c r="H29" s="1753"/>
      <c r="I29" s="1753"/>
      <c r="J29" s="1753"/>
      <c r="K29" s="1753"/>
      <c r="L29" s="1753"/>
      <c r="M29" s="1689"/>
      <c r="N29" s="1688"/>
    </row>
    <row r="30" spans="2:14" ht="31.5" customHeight="1" x14ac:dyDescent="0.2">
      <c r="B30" s="519">
        <v>280</v>
      </c>
      <c r="C30" s="2198"/>
      <c r="D30" s="1719" t="s">
        <v>2346</v>
      </c>
      <c r="E30" s="1753"/>
      <c r="F30" s="1753"/>
      <c r="G30" s="1753"/>
      <c r="H30" s="1753"/>
      <c r="I30" s="1753"/>
      <c r="J30" s="1753"/>
      <c r="K30" s="1753"/>
      <c r="L30" s="1753"/>
      <c r="M30" s="1687"/>
      <c r="N30" s="1688"/>
    </row>
    <row r="31" spans="2:14" ht="20.100000000000001" customHeight="1" x14ac:dyDescent="0.2">
      <c r="B31" s="519" t="s">
        <v>2347</v>
      </c>
      <c r="C31" s="2197" t="s">
        <v>2348</v>
      </c>
      <c r="D31" s="1719" t="s">
        <v>2349</v>
      </c>
      <c r="E31" s="1752"/>
      <c r="F31" s="1752"/>
      <c r="G31" s="1752"/>
      <c r="H31" s="1752"/>
      <c r="I31" s="1752"/>
      <c r="J31" s="1752"/>
      <c r="K31" s="1752"/>
      <c r="L31" s="1752"/>
      <c r="M31" s="1686"/>
      <c r="N31" s="247"/>
    </row>
    <row r="32" spans="2:14" ht="20.100000000000001" customHeight="1" x14ac:dyDescent="0.2">
      <c r="B32" s="519" t="s">
        <v>2350</v>
      </c>
      <c r="C32" s="2198"/>
      <c r="D32" s="1719" t="s">
        <v>2351</v>
      </c>
      <c r="E32" s="1753"/>
      <c r="F32" s="1753"/>
      <c r="G32" s="1753"/>
      <c r="H32" s="1753"/>
      <c r="I32" s="1753"/>
      <c r="J32" s="1753"/>
      <c r="K32" s="1753"/>
      <c r="L32" s="1753"/>
      <c r="M32" s="1757"/>
      <c r="N32" s="1758"/>
    </row>
    <row r="33" spans="2:14" ht="20.100000000000001" customHeight="1" x14ac:dyDescent="0.2">
      <c r="B33" s="519" t="s">
        <v>2352</v>
      </c>
      <c r="C33" s="2198"/>
      <c r="D33" s="1719" t="s">
        <v>2353</v>
      </c>
      <c r="E33" s="1753"/>
      <c r="F33" s="1753"/>
      <c r="G33" s="1753"/>
      <c r="H33" s="1753"/>
      <c r="I33" s="1753"/>
      <c r="J33" s="1753"/>
      <c r="K33" s="1753"/>
      <c r="L33" s="1753"/>
      <c r="M33" s="1687"/>
      <c r="N33" s="1688"/>
    </row>
    <row r="34" spans="2:14" ht="26.25" customHeight="1" x14ac:dyDescent="0.2">
      <c r="B34" s="519" t="s">
        <v>2354</v>
      </c>
      <c r="C34" s="2198"/>
      <c r="D34" s="1719" t="s">
        <v>2355</v>
      </c>
      <c r="E34" s="1753"/>
      <c r="F34" s="1753"/>
      <c r="G34" s="1753"/>
      <c r="H34" s="1753"/>
      <c r="I34" s="1753"/>
      <c r="J34" s="1753"/>
      <c r="K34" s="1753"/>
      <c r="L34" s="1753"/>
      <c r="M34" s="1687"/>
      <c r="N34" s="1688"/>
    </row>
    <row r="35" spans="2:14" ht="20.100000000000001" customHeight="1" x14ac:dyDescent="0.2">
      <c r="B35" s="519" t="s">
        <v>2356</v>
      </c>
      <c r="C35" s="2198"/>
      <c r="D35" s="1719" t="s">
        <v>2357</v>
      </c>
      <c r="E35" s="1753"/>
      <c r="F35" s="1753"/>
      <c r="G35" s="1753"/>
      <c r="H35" s="1753"/>
      <c r="I35" s="1753"/>
      <c r="J35" s="1753"/>
      <c r="K35" s="1753"/>
      <c r="L35" s="1753"/>
      <c r="M35" s="1687"/>
      <c r="N35" s="1688"/>
    </row>
    <row r="36" spans="2:14" ht="20.100000000000001" customHeight="1" x14ac:dyDescent="0.2">
      <c r="B36" s="519" t="s">
        <v>2358</v>
      </c>
      <c r="C36" s="2198"/>
      <c r="D36" s="1719" t="s">
        <v>2359</v>
      </c>
      <c r="E36" s="1753"/>
      <c r="F36" s="1753"/>
      <c r="G36" s="1753"/>
      <c r="H36" s="1753"/>
      <c r="I36" s="1753"/>
      <c r="J36" s="1753"/>
      <c r="K36" s="1753"/>
      <c r="L36" s="1753"/>
      <c r="M36" s="1687"/>
      <c r="N36" s="1688"/>
    </row>
    <row r="37" spans="2:14" ht="20.100000000000001" customHeight="1" x14ac:dyDescent="0.2">
      <c r="B37" s="1720" t="s">
        <v>2360</v>
      </c>
      <c r="C37" s="2198"/>
      <c r="D37" s="1719" t="s">
        <v>2361</v>
      </c>
      <c r="E37" s="1753"/>
      <c r="F37" s="1753"/>
      <c r="G37" s="1753"/>
      <c r="H37" s="1753"/>
      <c r="I37" s="1753"/>
      <c r="J37" s="1753"/>
      <c r="K37" s="1753"/>
      <c r="L37" s="1753"/>
      <c r="M37" s="1689"/>
      <c r="N37" s="1688"/>
    </row>
    <row r="38" spans="2:14" ht="31.5" customHeight="1" x14ac:dyDescent="0.2">
      <c r="B38" s="519">
        <v>380</v>
      </c>
      <c r="C38" s="2198"/>
      <c r="D38" s="1719" t="s">
        <v>2362</v>
      </c>
      <c r="E38" s="1753"/>
      <c r="F38" s="1753"/>
      <c r="G38" s="1753"/>
      <c r="H38" s="1753"/>
      <c r="I38" s="1753"/>
      <c r="J38" s="1753"/>
      <c r="K38" s="1753"/>
      <c r="L38" s="1753"/>
      <c r="M38" s="1687"/>
      <c r="N38" s="1688"/>
    </row>
    <row r="39" spans="2:14" ht="20.100000000000001" customHeight="1" x14ac:dyDescent="0.2">
      <c r="B39" s="519" t="s">
        <v>2363</v>
      </c>
      <c r="C39" s="2197" t="s">
        <v>2364</v>
      </c>
      <c r="D39" s="1719" t="s">
        <v>2365</v>
      </c>
      <c r="E39" s="1752"/>
      <c r="F39" s="1752"/>
      <c r="G39" s="1752"/>
      <c r="H39" s="1752"/>
      <c r="I39" s="1752"/>
      <c r="J39" s="1752"/>
      <c r="K39" s="1752"/>
      <c r="L39" s="1752"/>
      <c r="M39" s="1686"/>
      <c r="N39" s="247"/>
    </row>
    <row r="40" spans="2:14" ht="20.100000000000001" customHeight="1" x14ac:dyDescent="0.2">
      <c r="B40" s="519" t="s">
        <v>2366</v>
      </c>
      <c r="C40" s="2198"/>
      <c r="D40" s="1719" t="s">
        <v>2367</v>
      </c>
      <c r="E40" s="1753"/>
      <c r="F40" s="1753"/>
      <c r="G40" s="1753"/>
      <c r="H40" s="1753"/>
      <c r="I40" s="1753"/>
      <c r="J40" s="1753"/>
      <c r="K40" s="1753"/>
      <c r="L40" s="1753"/>
      <c r="M40" s="1757"/>
      <c r="N40" s="1758"/>
    </row>
    <row r="41" spans="2:14" ht="20.100000000000001" customHeight="1" x14ac:dyDescent="0.2">
      <c r="B41" s="519" t="s">
        <v>2368</v>
      </c>
      <c r="C41" s="2198"/>
      <c r="D41" s="1719" t="s">
        <v>2369</v>
      </c>
      <c r="E41" s="1753"/>
      <c r="F41" s="1753"/>
      <c r="G41" s="1753"/>
      <c r="H41" s="1753"/>
      <c r="I41" s="1753"/>
      <c r="J41" s="1753"/>
      <c r="K41" s="1753"/>
      <c r="L41" s="1753"/>
      <c r="M41" s="1687"/>
      <c r="N41" s="1688"/>
    </row>
    <row r="42" spans="2:14" ht="29.25" customHeight="1" x14ac:dyDescent="0.2">
      <c r="B42" s="519" t="s">
        <v>2370</v>
      </c>
      <c r="C42" s="2198"/>
      <c r="D42" s="1719" t="s">
        <v>2371</v>
      </c>
      <c r="E42" s="1753"/>
      <c r="F42" s="1753"/>
      <c r="G42" s="1753"/>
      <c r="H42" s="1753"/>
      <c r="I42" s="1753"/>
      <c r="J42" s="1753"/>
      <c r="K42" s="1753"/>
      <c r="L42" s="1753"/>
      <c r="M42" s="1687"/>
      <c r="N42" s="1688"/>
    </row>
    <row r="43" spans="2:14" ht="20.100000000000001" customHeight="1" x14ac:dyDescent="0.2">
      <c r="B43" s="519" t="s">
        <v>2372</v>
      </c>
      <c r="C43" s="2198"/>
      <c r="D43" s="1719" t="s">
        <v>2373</v>
      </c>
      <c r="E43" s="1753"/>
      <c r="F43" s="1753"/>
      <c r="G43" s="1753"/>
      <c r="H43" s="1753"/>
      <c r="I43" s="1753"/>
      <c r="J43" s="1753"/>
      <c r="K43" s="1753"/>
      <c r="L43" s="1753"/>
      <c r="M43" s="1687"/>
      <c r="N43" s="1688"/>
    </row>
    <row r="44" spans="2:14" ht="20.100000000000001" customHeight="1" x14ac:dyDescent="0.2">
      <c r="B44" s="519" t="s">
        <v>2374</v>
      </c>
      <c r="C44" s="2198"/>
      <c r="D44" s="1719" t="s">
        <v>2375</v>
      </c>
      <c r="E44" s="1753"/>
      <c r="F44" s="1753"/>
      <c r="G44" s="1753"/>
      <c r="H44" s="1753"/>
      <c r="I44" s="1753"/>
      <c r="J44" s="1753"/>
      <c r="K44" s="1753"/>
      <c r="L44" s="1753"/>
      <c r="M44" s="1687"/>
      <c r="N44" s="1688"/>
    </row>
    <row r="45" spans="2:14" ht="20.100000000000001" customHeight="1" x14ac:dyDescent="0.2">
      <c r="B45" s="1720" t="s">
        <v>2376</v>
      </c>
      <c r="C45" s="2198"/>
      <c r="D45" s="1719" t="s">
        <v>2377</v>
      </c>
      <c r="E45" s="1753"/>
      <c r="F45" s="1753"/>
      <c r="G45" s="1753"/>
      <c r="H45" s="1753"/>
      <c r="I45" s="1753"/>
      <c r="J45" s="1753"/>
      <c r="K45" s="1753"/>
      <c r="L45" s="1753"/>
      <c r="M45" s="1689"/>
      <c r="N45" s="1688"/>
    </row>
    <row r="46" spans="2:14" ht="31.5" customHeight="1" x14ac:dyDescent="0.2">
      <c r="B46" s="519">
        <v>480</v>
      </c>
      <c r="C46" s="2198"/>
      <c r="D46" s="1719" t="s">
        <v>2378</v>
      </c>
      <c r="E46" s="1753"/>
      <c r="F46" s="1753"/>
      <c r="G46" s="1753"/>
      <c r="H46" s="1753"/>
      <c r="I46" s="1753"/>
      <c r="J46" s="1753"/>
      <c r="K46" s="1753"/>
      <c r="L46" s="1753"/>
      <c r="M46" s="1687"/>
      <c r="N46" s="1688"/>
    </row>
    <row r="47" spans="2:14" ht="20.100000000000001" customHeight="1" x14ac:dyDescent="0.2">
      <c r="B47" s="519" t="s">
        <v>2379</v>
      </c>
      <c r="C47" s="2197" t="s">
        <v>2380</v>
      </c>
      <c r="D47" s="1719" t="s">
        <v>2381</v>
      </c>
      <c r="E47" s="1752"/>
      <c r="F47" s="1752"/>
      <c r="G47" s="1752"/>
      <c r="H47" s="1752"/>
      <c r="I47" s="1752"/>
      <c r="J47" s="1752"/>
      <c r="K47" s="1752"/>
      <c r="L47" s="1752"/>
      <c r="M47" s="1686"/>
      <c r="N47" s="247"/>
    </row>
    <row r="48" spans="2:14" ht="20.100000000000001" customHeight="1" x14ac:dyDescent="0.2">
      <c r="B48" s="519" t="s">
        <v>2382</v>
      </c>
      <c r="C48" s="2198"/>
      <c r="D48" s="1719" t="s">
        <v>2383</v>
      </c>
      <c r="E48" s="1753"/>
      <c r="F48" s="1753"/>
      <c r="G48" s="1753"/>
      <c r="H48" s="1753"/>
      <c r="I48" s="1753"/>
      <c r="J48" s="1753"/>
      <c r="K48" s="1753"/>
      <c r="L48" s="1753"/>
      <c r="M48" s="1757"/>
      <c r="N48" s="1758"/>
    </row>
    <row r="49" spans="2:14" ht="20.100000000000001" customHeight="1" x14ac:dyDescent="0.2">
      <c r="B49" s="519" t="s">
        <v>2384</v>
      </c>
      <c r="C49" s="2198"/>
      <c r="D49" s="1719" t="s">
        <v>2385</v>
      </c>
      <c r="E49" s="1753"/>
      <c r="F49" s="1753"/>
      <c r="G49" s="1753"/>
      <c r="H49" s="1753"/>
      <c r="I49" s="1753"/>
      <c r="J49" s="1753"/>
      <c r="K49" s="1753"/>
      <c r="L49" s="1753"/>
      <c r="M49" s="1687"/>
      <c r="N49" s="1688"/>
    </row>
    <row r="50" spans="2:14" ht="30" customHeight="1" x14ac:dyDescent="0.2">
      <c r="B50" s="519" t="s">
        <v>2386</v>
      </c>
      <c r="C50" s="2198"/>
      <c r="D50" s="1719" t="s">
        <v>2387</v>
      </c>
      <c r="E50" s="1753"/>
      <c r="F50" s="1753"/>
      <c r="G50" s="1753"/>
      <c r="H50" s="1753"/>
      <c r="I50" s="1753"/>
      <c r="J50" s="1753"/>
      <c r="K50" s="1753"/>
      <c r="L50" s="1753"/>
      <c r="M50" s="1687"/>
      <c r="N50" s="1688"/>
    </row>
    <row r="51" spans="2:14" ht="20.100000000000001" customHeight="1" x14ac:dyDescent="0.2">
      <c r="B51" s="519" t="s">
        <v>2388</v>
      </c>
      <c r="C51" s="2198"/>
      <c r="D51" s="1719" t="s">
        <v>2389</v>
      </c>
      <c r="E51" s="1753"/>
      <c r="F51" s="1753"/>
      <c r="G51" s="1753"/>
      <c r="H51" s="1753"/>
      <c r="I51" s="1753"/>
      <c r="J51" s="1753"/>
      <c r="K51" s="1753"/>
      <c r="L51" s="1753"/>
      <c r="M51" s="1687"/>
      <c r="N51" s="1688"/>
    </row>
    <row r="52" spans="2:14" ht="20.100000000000001" customHeight="1" x14ac:dyDescent="0.2">
      <c r="B52" s="519" t="s">
        <v>2390</v>
      </c>
      <c r="C52" s="2198"/>
      <c r="D52" s="1719" t="s">
        <v>2391</v>
      </c>
      <c r="E52" s="1753"/>
      <c r="F52" s="1753"/>
      <c r="G52" s="1753"/>
      <c r="H52" s="1753"/>
      <c r="I52" s="1753"/>
      <c r="J52" s="1753"/>
      <c r="K52" s="1753"/>
      <c r="L52" s="1753"/>
      <c r="M52" s="1687"/>
      <c r="N52" s="1688"/>
    </row>
    <row r="53" spans="2:14" ht="20.100000000000001" customHeight="1" x14ac:dyDescent="0.2">
      <c r="B53" s="1720" t="s">
        <v>2392</v>
      </c>
      <c r="C53" s="2198"/>
      <c r="D53" s="1719" t="s">
        <v>2393</v>
      </c>
      <c r="E53" s="1753"/>
      <c r="F53" s="1753"/>
      <c r="G53" s="1753"/>
      <c r="H53" s="1753"/>
      <c r="I53" s="1753"/>
      <c r="J53" s="1753"/>
      <c r="K53" s="1753"/>
      <c r="L53" s="1753"/>
      <c r="M53" s="1689"/>
      <c r="N53" s="1688"/>
    </row>
    <row r="54" spans="2:14" ht="31.5" customHeight="1" x14ac:dyDescent="0.2">
      <c r="B54" s="519">
        <v>580</v>
      </c>
      <c r="C54" s="2198"/>
      <c r="D54" s="1719" t="s">
        <v>2394</v>
      </c>
      <c r="E54" s="1753"/>
      <c r="F54" s="1753"/>
      <c r="G54" s="1753"/>
      <c r="H54" s="1753"/>
      <c r="I54" s="1753"/>
      <c r="J54" s="1753"/>
      <c r="K54" s="1753"/>
      <c r="L54" s="1753"/>
      <c r="M54" s="1687"/>
      <c r="N54" s="1688"/>
    </row>
    <row r="55" spans="2:14" ht="20.100000000000001" customHeight="1" x14ac:dyDescent="0.2">
      <c r="B55" s="519" t="s">
        <v>2395</v>
      </c>
      <c r="C55" s="2197" t="s">
        <v>2396</v>
      </c>
      <c r="D55" s="1719" t="s">
        <v>2397</v>
      </c>
      <c r="E55" s="1752"/>
      <c r="F55" s="1752"/>
      <c r="G55" s="1752"/>
      <c r="H55" s="1752"/>
      <c r="I55" s="1752"/>
      <c r="J55" s="1752"/>
      <c r="K55" s="1752"/>
      <c r="L55" s="1752"/>
      <c r="M55" s="1686"/>
      <c r="N55" s="247"/>
    </row>
    <row r="56" spans="2:14" ht="20.100000000000001" customHeight="1" x14ac:dyDescent="0.2">
      <c r="B56" s="519" t="s">
        <v>2398</v>
      </c>
      <c r="C56" s="2198"/>
      <c r="D56" s="1719" t="s">
        <v>2399</v>
      </c>
      <c r="E56" s="1753"/>
      <c r="F56" s="1753"/>
      <c r="G56" s="1753"/>
      <c r="H56" s="1753"/>
      <c r="I56" s="1753"/>
      <c r="J56" s="1753"/>
      <c r="K56" s="1753"/>
      <c r="L56" s="1753"/>
      <c r="M56" s="1757"/>
      <c r="N56" s="1758"/>
    </row>
    <row r="57" spans="2:14" ht="20.100000000000001" customHeight="1" x14ac:dyDescent="0.2">
      <c r="B57" s="519" t="s">
        <v>2400</v>
      </c>
      <c r="C57" s="2198"/>
      <c r="D57" s="1719" t="s">
        <v>2401</v>
      </c>
      <c r="E57" s="1753"/>
      <c r="F57" s="1753"/>
      <c r="G57" s="1753"/>
      <c r="H57" s="1753"/>
      <c r="I57" s="1753"/>
      <c r="J57" s="1753"/>
      <c r="K57" s="1753"/>
      <c r="L57" s="1753"/>
      <c r="M57" s="1687"/>
      <c r="N57" s="1688"/>
    </row>
    <row r="58" spans="2:14" ht="20.100000000000001" customHeight="1" x14ac:dyDescent="0.2">
      <c r="B58" s="519" t="s">
        <v>2402</v>
      </c>
      <c r="C58" s="2198"/>
      <c r="D58" s="1719" t="s">
        <v>2403</v>
      </c>
      <c r="E58" s="1753"/>
      <c r="F58" s="1753"/>
      <c r="G58" s="1753"/>
      <c r="H58" s="1753"/>
      <c r="I58" s="1753"/>
      <c r="J58" s="1753"/>
      <c r="K58" s="1753"/>
      <c r="L58" s="1753"/>
      <c r="M58" s="1687"/>
      <c r="N58" s="1688"/>
    </row>
    <row r="59" spans="2:14" ht="20.100000000000001" customHeight="1" x14ac:dyDescent="0.2">
      <c r="B59" s="519" t="s">
        <v>2404</v>
      </c>
      <c r="C59" s="2198"/>
      <c r="D59" s="1719" t="s">
        <v>2405</v>
      </c>
      <c r="E59" s="1753"/>
      <c r="F59" s="1753"/>
      <c r="G59" s="1753"/>
      <c r="H59" s="1753"/>
      <c r="I59" s="1753"/>
      <c r="J59" s="1753"/>
      <c r="K59" s="1753"/>
      <c r="L59" s="1753"/>
      <c r="M59" s="1687"/>
      <c r="N59" s="1688"/>
    </row>
    <row r="60" spans="2:14" ht="20.100000000000001" customHeight="1" x14ac:dyDescent="0.2">
      <c r="B60" s="519" t="s">
        <v>2406</v>
      </c>
      <c r="C60" s="2198"/>
      <c r="D60" s="1719" t="s">
        <v>2407</v>
      </c>
      <c r="E60" s="1753"/>
      <c r="F60" s="1753"/>
      <c r="G60" s="1753"/>
      <c r="H60" s="1753"/>
      <c r="I60" s="1753"/>
      <c r="J60" s="1753"/>
      <c r="K60" s="1753"/>
      <c r="L60" s="1753"/>
      <c r="M60" s="1687"/>
      <c r="N60" s="1688"/>
    </row>
    <row r="61" spans="2:14" ht="20.100000000000001" customHeight="1" x14ac:dyDescent="0.2">
      <c r="B61" s="1720" t="s">
        <v>2408</v>
      </c>
      <c r="C61" s="2198"/>
      <c r="D61" s="1719" t="s">
        <v>2409</v>
      </c>
      <c r="E61" s="1753"/>
      <c r="F61" s="1753"/>
      <c r="G61" s="1753"/>
      <c r="H61" s="1753"/>
      <c r="I61" s="1753"/>
      <c r="J61" s="1753"/>
      <c r="K61" s="1753"/>
      <c r="L61" s="1753"/>
      <c r="M61" s="1689"/>
      <c r="N61" s="1688"/>
    </row>
    <row r="62" spans="2:14" ht="31.5" customHeight="1" x14ac:dyDescent="0.2">
      <c r="B62" s="519">
        <v>680</v>
      </c>
      <c r="C62" s="2198"/>
      <c r="D62" s="1719" t="s">
        <v>2410</v>
      </c>
      <c r="E62" s="1753"/>
      <c r="F62" s="1753"/>
      <c r="G62" s="1753"/>
      <c r="H62" s="1753"/>
      <c r="I62" s="1753"/>
      <c r="J62" s="1753"/>
      <c r="K62" s="1753"/>
      <c r="L62" s="1753"/>
      <c r="M62" s="1687"/>
      <c r="N62" s="1688"/>
    </row>
    <row r="63" spans="2:14" ht="20.100000000000001" customHeight="1" x14ac:dyDescent="0.2">
      <c r="B63" s="519" t="s">
        <v>2411</v>
      </c>
      <c r="C63" s="2197" t="s">
        <v>2412</v>
      </c>
      <c r="D63" s="1719" t="s">
        <v>2413</v>
      </c>
      <c r="E63" s="1752"/>
      <c r="F63" s="1752"/>
      <c r="G63" s="1752"/>
      <c r="H63" s="1752"/>
      <c r="I63" s="1752"/>
      <c r="J63" s="1752"/>
      <c r="K63" s="1752"/>
      <c r="L63" s="1752"/>
      <c r="M63" s="1686"/>
      <c r="N63" s="247"/>
    </row>
    <row r="64" spans="2:14" ht="20.100000000000001" customHeight="1" x14ac:dyDescent="0.2">
      <c r="B64" s="519" t="s">
        <v>2414</v>
      </c>
      <c r="C64" s="2198"/>
      <c r="D64" s="1719" t="s">
        <v>2415</v>
      </c>
      <c r="E64" s="1753"/>
      <c r="F64" s="1753"/>
      <c r="G64" s="1753"/>
      <c r="H64" s="1753"/>
      <c r="I64" s="1753"/>
      <c r="J64" s="1753"/>
      <c r="K64" s="1753"/>
      <c r="L64" s="1753"/>
      <c r="M64" s="1757"/>
      <c r="N64" s="1758"/>
    </row>
    <row r="65" spans="2:14" ht="20.100000000000001" customHeight="1" x14ac:dyDescent="0.2">
      <c r="B65" s="519" t="s">
        <v>2416</v>
      </c>
      <c r="C65" s="2198"/>
      <c r="D65" s="1719" t="s">
        <v>2417</v>
      </c>
      <c r="E65" s="1753"/>
      <c r="F65" s="1753"/>
      <c r="G65" s="1753"/>
      <c r="H65" s="1753"/>
      <c r="I65" s="1753"/>
      <c r="J65" s="1753"/>
      <c r="K65" s="1753"/>
      <c r="L65" s="1753"/>
      <c r="M65" s="1687"/>
      <c r="N65" s="1688"/>
    </row>
    <row r="66" spans="2:14" ht="20.100000000000001" customHeight="1" x14ac:dyDescent="0.2">
      <c r="B66" s="519" t="s">
        <v>2418</v>
      </c>
      <c r="C66" s="2198"/>
      <c r="D66" s="1719" t="s">
        <v>2419</v>
      </c>
      <c r="E66" s="1753"/>
      <c r="F66" s="1753"/>
      <c r="G66" s="1753"/>
      <c r="H66" s="1753"/>
      <c r="I66" s="1753"/>
      <c r="J66" s="1753"/>
      <c r="K66" s="1753"/>
      <c r="L66" s="1753"/>
      <c r="M66" s="1687"/>
      <c r="N66" s="1688"/>
    </row>
    <row r="67" spans="2:14" ht="20.100000000000001" customHeight="1" x14ac:dyDescent="0.2">
      <c r="B67" s="519" t="s">
        <v>2420</v>
      </c>
      <c r="C67" s="2198"/>
      <c r="D67" s="1719" t="s">
        <v>2421</v>
      </c>
      <c r="E67" s="1753"/>
      <c r="F67" s="1753"/>
      <c r="G67" s="1753"/>
      <c r="H67" s="1753"/>
      <c r="I67" s="1753"/>
      <c r="J67" s="1753"/>
      <c r="K67" s="1753"/>
      <c r="L67" s="1753"/>
      <c r="M67" s="1687"/>
      <c r="N67" s="1688"/>
    </row>
    <row r="68" spans="2:14" ht="20.100000000000001" customHeight="1" x14ac:dyDescent="0.2">
      <c r="B68" s="519" t="s">
        <v>2422</v>
      </c>
      <c r="C68" s="2198"/>
      <c r="D68" s="1719" t="s">
        <v>2423</v>
      </c>
      <c r="E68" s="1753"/>
      <c r="F68" s="1753"/>
      <c r="G68" s="1753"/>
      <c r="H68" s="1753"/>
      <c r="I68" s="1753"/>
      <c r="J68" s="1753"/>
      <c r="K68" s="1753"/>
      <c r="L68" s="1753"/>
      <c r="M68" s="1687"/>
      <c r="N68" s="1688"/>
    </row>
    <row r="69" spans="2:14" ht="20.100000000000001" customHeight="1" x14ac:dyDescent="0.2">
      <c r="B69" s="1720" t="s">
        <v>2424</v>
      </c>
      <c r="C69" s="2198"/>
      <c r="D69" s="1719" t="s">
        <v>2425</v>
      </c>
      <c r="E69" s="1753"/>
      <c r="F69" s="1753"/>
      <c r="G69" s="1753"/>
      <c r="H69" s="1753"/>
      <c r="I69" s="1753"/>
      <c r="J69" s="1753"/>
      <c r="K69" s="1753"/>
      <c r="L69" s="1753"/>
      <c r="M69" s="1689"/>
      <c r="N69" s="1688"/>
    </row>
    <row r="70" spans="2:14" ht="31.5" customHeight="1" x14ac:dyDescent="0.2">
      <c r="B70" s="519">
        <v>780</v>
      </c>
      <c r="C70" s="2198"/>
      <c r="D70" s="1719" t="s">
        <v>2426</v>
      </c>
      <c r="E70" s="1753"/>
      <c r="F70" s="1753"/>
      <c r="G70" s="1753"/>
      <c r="H70" s="1753"/>
      <c r="I70" s="1753"/>
      <c r="J70" s="1753"/>
      <c r="K70" s="1753"/>
      <c r="L70" s="1753"/>
      <c r="M70" s="1687"/>
      <c r="N70" s="1688"/>
    </row>
    <row r="71" spans="2:14" ht="20.100000000000001" customHeight="1" x14ac:dyDescent="0.2">
      <c r="B71" s="519" t="s">
        <v>2427</v>
      </c>
      <c r="C71" s="2197" t="s">
        <v>2428</v>
      </c>
      <c r="D71" s="1719" t="s">
        <v>2429</v>
      </c>
      <c r="E71" s="1752"/>
      <c r="F71" s="1752"/>
      <c r="G71" s="1752"/>
      <c r="H71" s="1752"/>
      <c r="I71" s="1752"/>
      <c r="J71" s="1752"/>
      <c r="K71" s="1752"/>
      <c r="L71" s="1752"/>
      <c r="M71" s="1686"/>
      <c r="N71" s="247"/>
    </row>
    <row r="72" spans="2:14" ht="20.100000000000001" customHeight="1" x14ac:dyDescent="0.2">
      <c r="B72" s="519" t="s">
        <v>2430</v>
      </c>
      <c r="C72" s="2198"/>
      <c r="D72" s="1719" t="s">
        <v>2431</v>
      </c>
      <c r="E72" s="1753"/>
      <c r="F72" s="1753"/>
      <c r="G72" s="1753"/>
      <c r="H72" s="1753"/>
      <c r="I72" s="1753"/>
      <c r="J72" s="1753"/>
      <c r="K72" s="1753"/>
      <c r="L72" s="1753"/>
      <c r="M72" s="1757"/>
      <c r="N72" s="1758"/>
    </row>
    <row r="73" spans="2:14" ht="20.100000000000001" customHeight="1" x14ac:dyDescent="0.2">
      <c r="B73" s="519" t="s">
        <v>2432</v>
      </c>
      <c r="C73" s="2198"/>
      <c r="D73" s="1719" t="s">
        <v>2433</v>
      </c>
      <c r="E73" s="1753"/>
      <c r="F73" s="1753"/>
      <c r="G73" s="1753"/>
      <c r="H73" s="1753"/>
      <c r="I73" s="1753"/>
      <c r="J73" s="1753"/>
      <c r="K73" s="1753"/>
      <c r="L73" s="1753"/>
      <c r="M73" s="1687"/>
      <c r="N73" s="1688"/>
    </row>
    <row r="74" spans="2:14" ht="20.100000000000001" customHeight="1" x14ac:dyDescent="0.2">
      <c r="B74" s="519" t="s">
        <v>2434</v>
      </c>
      <c r="C74" s="2198"/>
      <c r="D74" s="1719" t="s">
        <v>2435</v>
      </c>
      <c r="E74" s="1753"/>
      <c r="F74" s="1753"/>
      <c r="G74" s="1753"/>
      <c r="H74" s="1753"/>
      <c r="I74" s="1753"/>
      <c r="J74" s="1753"/>
      <c r="K74" s="1753"/>
      <c r="L74" s="1753"/>
      <c r="M74" s="1687"/>
      <c r="N74" s="1688"/>
    </row>
    <row r="75" spans="2:14" ht="20.100000000000001" customHeight="1" x14ac:dyDescent="0.2">
      <c r="B75" s="519" t="s">
        <v>2436</v>
      </c>
      <c r="C75" s="2198"/>
      <c r="D75" s="1719" t="s">
        <v>2437</v>
      </c>
      <c r="E75" s="1753"/>
      <c r="F75" s="1753"/>
      <c r="G75" s="1753"/>
      <c r="H75" s="1753"/>
      <c r="I75" s="1753"/>
      <c r="J75" s="1753"/>
      <c r="K75" s="1753"/>
      <c r="L75" s="1753"/>
      <c r="M75" s="1687"/>
      <c r="N75" s="1688"/>
    </row>
    <row r="76" spans="2:14" ht="20.100000000000001" customHeight="1" x14ac:dyDescent="0.2">
      <c r="B76" s="519" t="s">
        <v>2438</v>
      </c>
      <c r="C76" s="2198"/>
      <c r="D76" s="1719" t="s">
        <v>2439</v>
      </c>
      <c r="E76" s="1753"/>
      <c r="F76" s="1753"/>
      <c r="G76" s="1753"/>
      <c r="H76" s="1753"/>
      <c r="I76" s="1753"/>
      <c r="J76" s="1753"/>
      <c r="K76" s="1753"/>
      <c r="L76" s="1753"/>
      <c r="M76" s="1687"/>
      <c r="N76" s="1688"/>
    </row>
    <row r="77" spans="2:14" ht="20.100000000000001" customHeight="1" x14ac:dyDescent="0.2">
      <c r="B77" s="1720" t="s">
        <v>2440</v>
      </c>
      <c r="C77" s="2198"/>
      <c r="D77" s="1719" t="s">
        <v>2441</v>
      </c>
      <c r="E77" s="1753"/>
      <c r="F77" s="1753"/>
      <c r="G77" s="1753"/>
      <c r="H77" s="1753"/>
      <c r="I77" s="1753"/>
      <c r="J77" s="1753"/>
      <c r="K77" s="1753"/>
      <c r="L77" s="1753"/>
      <c r="M77" s="1689"/>
      <c r="N77" s="1688"/>
    </row>
    <row r="78" spans="2:14" ht="31.5" customHeight="1" x14ac:dyDescent="0.2">
      <c r="B78" s="519">
        <v>880</v>
      </c>
      <c r="C78" s="2198"/>
      <c r="D78" s="1719" t="s">
        <v>2442</v>
      </c>
      <c r="E78" s="1753"/>
      <c r="F78" s="1753"/>
      <c r="G78" s="1753"/>
      <c r="H78" s="1753"/>
      <c r="I78" s="1753"/>
      <c r="J78" s="1753"/>
      <c r="K78" s="1753"/>
      <c r="L78" s="1753"/>
      <c r="M78" s="1687"/>
      <c r="N78" s="1688"/>
    </row>
    <row r="79" spans="2:14" ht="20.100000000000001" customHeight="1" x14ac:dyDescent="0.2">
      <c r="B79" s="1720">
        <v>910</v>
      </c>
      <c r="C79" s="2197" t="s">
        <v>2443</v>
      </c>
      <c r="D79" s="1719" t="s">
        <v>2444</v>
      </c>
      <c r="E79" s="1754"/>
      <c r="F79" s="1754"/>
      <c r="G79" s="1754"/>
      <c r="H79" s="1754"/>
      <c r="I79" s="1754"/>
      <c r="J79" s="1754"/>
      <c r="K79" s="1754"/>
      <c r="L79" s="1754"/>
      <c r="M79" s="1686"/>
      <c r="N79" s="1690"/>
    </row>
    <row r="80" spans="2:14" ht="20.100000000000001" customHeight="1" x14ac:dyDescent="0.2">
      <c r="B80" s="1720">
        <v>911</v>
      </c>
      <c r="C80" s="2198"/>
      <c r="D80" s="1719" t="s">
        <v>2445</v>
      </c>
      <c r="E80" s="1753"/>
      <c r="F80" s="1753"/>
      <c r="G80" s="1753"/>
      <c r="H80" s="1753"/>
      <c r="I80" s="1753"/>
      <c r="J80" s="1753"/>
      <c r="K80" s="1753"/>
      <c r="L80" s="1753"/>
      <c r="M80" s="1689"/>
      <c r="N80" s="1691"/>
    </row>
    <row r="81" spans="2:14" ht="20.100000000000001" customHeight="1" x14ac:dyDescent="0.2">
      <c r="B81" s="1720">
        <v>912</v>
      </c>
      <c r="C81" s="2198"/>
      <c r="D81" s="1719" t="s">
        <v>2446</v>
      </c>
      <c r="E81" s="1753"/>
      <c r="F81" s="1753"/>
      <c r="G81" s="1753"/>
      <c r="H81" s="1753"/>
      <c r="I81" s="1753"/>
      <c r="J81" s="1753"/>
      <c r="K81" s="1753"/>
      <c r="L81" s="1753"/>
      <c r="M81" s="1689"/>
      <c r="N81" s="1691"/>
    </row>
    <row r="82" spans="2:14" ht="20.100000000000001" customHeight="1" x14ac:dyDescent="0.2">
      <c r="B82" s="1720">
        <v>913</v>
      </c>
      <c r="C82" s="2198"/>
      <c r="D82" s="1719" t="s">
        <v>2447</v>
      </c>
      <c r="E82" s="1753"/>
      <c r="F82" s="1753"/>
      <c r="G82" s="1753"/>
      <c r="H82" s="1753"/>
      <c r="I82" s="1753"/>
      <c r="J82" s="1753"/>
      <c r="K82" s="1753"/>
      <c r="L82" s="1753"/>
      <c r="M82" s="1689"/>
      <c r="N82" s="1691"/>
    </row>
    <row r="83" spans="2:14" ht="20.100000000000001" customHeight="1" x14ac:dyDescent="0.2">
      <c r="B83" s="1720">
        <v>914</v>
      </c>
      <c r="C83" s="2198"/>
      <c r="D83" s="1719" t="s">
        <v>2448</v>
      </c>
      <c r="E83" s="1753"/>
      <c r="F83" s="1753"/>
      <c r="G83" s="1753"/>
      <c r="H83" s="1753"/>
      <c r="I83" s="1753"/>
      <c r="J83" s="1753"/>
      <c r="K83" s="1753"/>
      <c r="L83" s="1753"/>
      <c r="M83" s="1689"/>
      <c r="N83" s="1691"/>
    </row>
    <row r="84" spans="2:14" ht="20.100000000000001" customHeight="1" x14ac:dyDescent="0.2">
      <c r="B84" s="1720">
        <v>920</v>
      </c>
      <c r="C84" s="2198"/>
      <c r="D84" s="1719" t="s">
        <v>2449</v>
      </c>
      <c r="E84" s="1755"/>
      <c r="F84" s="1755"/>
      <c r="G84" s="1755"/>
      <c r="H84" s="1755"/>
      <c r="I84" s="1755"/>
      <c r="J84" s="1755"/>
      <c r="K84" s="1755"/>
      <c r="L84" s="1755"/>
      <c r="M84" s="1689"/>
      <c r="N84" s="1691"/>
    </row>
    <row r="85" spans="2:14" ht="20.100000000000001" customHeight="1" x14ac:dyDescent="0.2">
      <c r="B85" s="1720">
        <v>921</v>
      </c>
      <c r="C85" s="2198"/>
      <c r="D85" s="1719" t="s">
        <v>2450</v>
      </c>
      <c r="E85" s="1753"/>
      <c r="F85" s="1753"/>
      <c r="G85" s="1753"/>
      <c r="H85" s="1753"/>
      <c r="I85" s="1753"/>
      <c r="J85" s="1753"/>
      <c r="K85" s="1753"/>
      <c r="L85" s="1753"/>
      <c r="M85" s="1689"/>
      <c r="N85" s="1691"/>
    </row>
    <row r="86" spans="2:14" ht="20.100000000000001" customHeight="1" x14ac:dyDescent="0.2">
      <c r="B86" s="1720">
        <v>922</v>
      </c>
      <c r="C86" s="2198"/>
      <c r="D86" s="1719" t="s">
        <v>2451</v>
      </c>
      <c r="E86" s="1753"/>
      <c r="F86" s="1753"/>
      <c r="G86" s="1753"/>
      <c r="H86" s="1753"/>
      <c r="I86" s="1753"/>
      <c r="J86" s="1753"/>
      <c r="K86" s="1753"/>
      <c r="L86" s="1753"/>
      <c r="M86" s="1689"/>
      <c r="N86" s="1691"/>
    </row>
    <row r="87" spans="2:14" ht="20.100000000000001" customHeight="1" x14ac:dyDescent="0.2">
      <c r="B87" s="1720">
        <v>923</v>
      </c>
      <c r="C87" s="2198"/>
      <c r="D87" s="1719" t="s">
        <v>2452</v>
      </c>
      <c r="E87" s="1753"/>
      <c r="F87" s="1753"/>
      <c r="G87" s="1753"/>
      <c r="H87" s="1753"/>
      <c r="I87" s="1753"/>
      <c r="J87" s="1753"/>
      <c r="K87" s="1753"/>
      <c r="L87" s="1753"/>
      <c r="M87" s="1689"/>
      <c r="N87" s="1691"/>
    </row>
    <row r="88" spans="2:14" ht="20.100000000000001" customHeight="1" x14ac:dyDescent="0.2">
      <c r="B88" s="1720">
        <v>924</v>
      </c>
      <c r="C88" s="2198"/>
      <c r="D88" s="1719" t="s">
        <v>2453</v>
      </c>
      <c r="E88" s="1753"/>
      <c r="F88" s="1753"/>
      <c r="G88" s="1753"/>
      <c r="H88" s="1753"/>
      <c r="I88" s="1753"/>
      <c r="J88" s="1753"/>
      <c r="K88" s="1753"/>
      <c r="L88" s="1753"/>
      <c r="M88" s="1689"/>
      <c r="N88" s="1691"/>
    </row>
    <row r="89" spans="2:14" ht="20.100000000000001" customHeight="1" x14ac:dyDescent="0.2">
      <c r="B89" s="1720">
        <v>930</v>
      </c>
      <c r="C89" s="2198"/>
      <c r="D89" s="1719" t="s">
        <v>2454</v>
      </c>
      <c r="E89" s="1753"/>
      <c r="F89" s="1753"/>
      <c r="G89" s="1753"/>
      <c r="H89" s="1753"/>
      <c r="I89" s="1753"/>
      <c r="J89" s="1753"/>
      <c r="K89" s="1753"/>
      <c r="L89" s="1753"/>
      <c r="M89" s="1689"/>
      <c r="N89" s="1691"/>
    </row>
    <row r="90" spans="2:14" ht="20.100000000000001" customHeight="1" x14ac:dyDescent="0.2">
      <c r="B90" s="1720">
        <v>935</v>
      </c>
      <c r="C90" s="2198"/>
      <c r="D90" s="1719" t="s">
        <v>2455</v>
      </c>
      <c r="E90" s="1753"/>
      <c r="F90" s="1753"/>
      <c r="G90" s="1753"/>
      <c r="H90" s="1753"/>
      <c r="I90" s="1753"/>
      <c r="J90" s="1753"/>
      <c r="K90" s="1753"/>
      <c r="L90" s="1753"/>
      <c r="M90" s="1689"/>
      <c r="N90" s="1691"/>
    </row>
    <row r="91" spans="2:14" ht="20.100000000000001" customHeight="1" x14ac:dyDescent="0.2">
      <c r="B91" s="1720">
        <v>936</v>
      </c>
      <c r="C91" s="2198"/>
      <c r="D91" s="1719" t="s">
        <v>2456</v>
      </c>
      <c r="E91" s="1753"/>
      <c r="F91" s="1753"/>
      <c r="G91" s="1753"/>
      <c r="H91" s="1753"/>
      <c r="I91" s="1753"/>
      <c r="J91" s="1753"/>
      <c r="K91" s="1753"/>
      <c r="L91" s="1753"/>
      <c r="M91" s="1689"/>
      <c r="N91" s="1691"/>
    </row>
    <row r="92" spans="2:14" ht="20.100000000000001" customHeight="1" x14ac:dyDescent="0.2">
      <c r="B92" s="1720">
        <v>940</v>
      </c>
      <c r="C92" s="2198"/>
      <c r="D92" s="1719" t="s">
        <v>2457</v>
      </c>
      <c r="E92" s="1753"/>
      <c r="F92" s="1753"/>
      <c r="G92" s="1753"/>
      <c r="H92" s="1753"/>
      <c r="I92" s="1753"/>
      <c r="J92" s="1753"/>
      <c r="K92" s="1753"/>
      <c r="L92" s="1753"/>
      <c r="M92" s="1689"/>
      <c r="N92" s="1691"/>
    </row>
    <row r="93" spans="2:14" ht="20.100000000000001" customHeight="1" x14ac:dyDescent="0.2">
      <c r="B93" s="1720">
        <v>945</v>
      </c>
      <c r="C93" s="2198"/>
      <c r="D93" s="1719" t="s">
        <v>2458</v>
      </c>
      <c r="E93" s="1753"/>
      <c r="F93" s="1753"/>
      <c r="G93" s="1753"/>
      <c r="H93" s="1753"/>
      <c r="I93" s="1753"/>
      <c r="J93" s="1753"/>
      <c r="K93" s="1753"/>
      <c r="L93" s="1753"/>
      <c r="M93" s="1689"/>
      <c r="N93" s="1691"/>
    </row>
    <row r="94" spans="2:14" ht="20.100000000000001" customHeight="1" x14ac:dyDescent="0.2">
      <c r="B94" s="1720">
        <v>946</v>
      </c>
      <c r="C94" s="2198"/>
      <c r="D94" s="1719" t="s">
        <v>2459</v>
      </c>
      <c r="E94" s="1753"/>
      <c r="F94" s="1753"/>
      <c r="G94" s="1753"/>
      <c r="H94" s="1753"/>
      <c r="I94" s="1753"/>
      <c r="J94" s="1753"/>
      <c r="K94" s="1753"/>
      <c r="L94" s="1753"/>
      <c r="M94" s="1689"/>
      <c r="N94" s="1691"/>
    </row>
    <row r="95" spans="2:14" ht="20.100000000000001" customHeight="1" x14ac:dyDescent="0.2">
      <c r="B95" s="1720">
        <v>950</v>
      </c>
      <c r="C95" s="2198"/>
      <c r="D95" s="1719" t="s">
        <v>2460</v>
      </c>
      <c r="E95" s="1753"/>
      <c r="F95" s="1753"/>
      <c r="G95" s="1753"/>
      <c r="H95" s="1753"/>
      <c r="I95" s="1753"/>
      <c r="J95" s="1753"/>
      <c r="K95" s="1753"/>
      <c r="L95" s="1753"/>
      <c r="M95" s="1689"/>
      <c r="N95" s="1691"/>
    </row>
    <row r="96" spans="2:14" ht="20.100000000000001" customHeight="1" x14ac:dyDescent="0.2">
      <c r="B96" s="1720">
        <v>960</v>
      </c>
      <c r="C96" s="2198"/>
      <c r="D96" s="1719" t="s">
        <v>2461</v>
      </c>
      <c r="E96" s="1753"/>
      <c r="F96" s="1753"/>
      <c r="G96" s="1753"/>
      <c r="H96" s="1753"/>
      <c r="I96" s="1753"/>
      <c r="J96" s="1753"/>
      <c r="K96" s="1753"/>
      <c r="L96" s="1753"/>
      <c r="M96" s="1689"/>
      <c r="N96" s="1691"/>
    </row>
    <row r="97" spans="2:14" ht="20.100000000000001" customHeight="1" x14ac:dyDescent="0.2">
      <c r="B97" s="1721">
        <v>970</v>
      </c>
      <c r="C97" s="2198"/>
      <c r="D97" s="1719" t="s">
        <v>2462</v>
      </c>
      <c r="E97" s="1753"/>
      <c r="F97" s="1753"/>
      <c r="G97" s="1753"/>
      <c r="H97" s="1753"/>
      <c r="I97" s="1753"/>
      <c r="J97" s="1753"/>
      <c r="K97" s="1753"/>
      <c r="L97" s="1753"/>
      <c r="M97" s="1689"/>
      <c r="N97" s="1691"/>
    </row>
    <row r="98" spans="2:14" ht="31.5" customHeight="1" thickBot="1" x14ac:dyDescent="0.25">
      <c r="B98" s="1722">
        <v>980</v>
      </c>
      <c r="C98" s="2199"/>
      <c r="D98" s="1723" t="s">
        <v>2463</v>
      </c>
      <c r="E98" s="1756"/>
      <c r="F98" s="1756"/>
      <c r="G98" s="1756"/>
      <c r="H98" s="1756"/>
      <c r="I98" s="1756"/>
      <c r="J98" s="1756"/>
      <c r="K98" s="1756"/>
      <c r="L98" s="1756"/>
      <c r="M98" s="1692"/>
      <c r="N98" s="1693"/>
    </row>
  </sheetData>
  <mergeCells count="16">
    <mergeCell ref="C55:C62"/>
    <mergeCell ref="C63:C70"/>
    <mergeCell ref="C71:C78"/>
    <mergeCell ref="C79:C98"/>
    <mergeCell ref="C7:C14"/>
    <mergeCell ref="C15:C22"/>
    <mergeCell ref="C23:C30"/>
    <mergeCell ref="C31:C38"/>
    <mergeCell ref="C39:C46"/>
    <mergeCell ref="C47:C54"/>
    <mergeCell ref="C6:D6"/>
    <mergeCell ref="B2:N2"/>
    <mergeCell ref="B4:D5"/>
    <mergeCell ref="E4:K4"/>
    <mergeCell ref="L4:L5"/>
    <mergeCell ref="M4:N4"/>
  </mergeCells>
  <pageMargins left="0.7" right="0.7" top="0.75" bottom="0.75" header="0.3" footer="0.3"/>
  <pageSetup paperSize="9" scale="27" fitToHeight="0" orientation="portrait" r:id="rId1"/>
  <headerFooter>
    <oddHeader>&amp;CFR
ANNEXE I</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V53"/>
  <sheetViews>
    <sheetView zoomScale="55" zoomScaleNormal="55" workbookViewId="0">
      <selection activeCell="D19" sqref="D19"/>
    </sheetView>
  </sheetViews>
  <sheetFormatPr defaultColWidth="11.44140625" defaultRowHeight="12.6" x14ac:dyDescent="0.2"/>
  <cols>
    <col min="1" max="1" width="3.109375" style="245" customWidth="1"/>
    <col min="2" max="2" width="6.44140625" style="245" bestFit="1" customWidth="1"/>
    <col min="3" max="3" width="11.88671875" style="245" customWidth="1"/>
    <col min="4" max="4" width="16.33203125" style="245" customWidth="1"/>
    <col min="5" max="5" width="14.44140625" style="245" customWidth="1"/>
    <col min="6" max="6" width="13.5546875" style="245" customWidth="1"/>
    <col min="7" max="7" width="10.6640625" style="245" customWidth="1"/>
    <col min="8" max="10" width="15.6640625" style="245" customWidth="1"/>
    <col min="11" max="11" width="12.5546875" style="1694" bestFit="1" customWidth="1"/>
    <col min="12" max="12" width="15.6640625" style="245" customWidth="1"/>
    <col min="13" max="13" width="15.88671875" style="245" customWidth="1"/>
    <col min="14" max="14" width="12.6640625" style="245" customWidth="1"/>
    <col min="15" max="15" width="15.6640625" style="245" customWidth="1"/>
    <col min="16" max="16" width="12.6640625" style="245" customWidth="1"/>
    <col min="17" max="17" width="17.6640625" style="245" customWidth="1"/>
    <col min="18" max="18" width="12.6640625" style="245" customWidth="1"/>
    <col min="19" max="19" width="12.88671875" style="245" customWidth="1"/>
    <col min="20" max="20" width="11.33203125" style="245" customWidth="1"/>
    <col min="21" max="21" width="14.33203125" style="1694" customWidth="1"/>
    <col min="22" max="22" width="16.33203125" style="245" customWidth="1"/>
    <col min="23" max="16384" width="11.44140625" style="245"/>
  </cols>
  <sheetData>
    <row r="1" spans="1:22" ht="11.25" customHeight="1" thickBot="1" x14ac:dyDescent="0.3">
      <c r="A1" s="243"/>
      <c r="B1" s="243"/>
    </row>
    <row r="2" spans="1:22" ht="33.75" customHeight="1" thickBot="1" x14ac:dyDescent="0.25">
      <c r="B2" s="2182" t="s">
        <v>2464</v>
      </c>
      <c r="C2" s="2183"/>
      <c r="D2" s="2183"/>
      <c r="E2" s="2183"/>
      <c r="F2" s="2183"/>
      <c r="G2" s="2183"/>
      <c r="H2" s="2183"/>
      <c r="I2" s="2183"/>
      <c r="J2" s="2183"/>
      <c r="K2" s="2183"/>
      <c r="L2" s="2183"/>
      <c r="M2" s="2183"/>
      <c r="N2" s="2183"/>
      <c r="O2" s="2183"/>
      <c r="P2" s="2183"/>
      <c r="Q2" s="2183"/>
      <c r="R2" s="2183"/>
      <c r="S2" s="2183"/>
      <c r="T2" s="2183"/>
      <c r="U2" s="2183"/>
      <c r="V2" s="2184"/>
    </row>
    <row r="3" spans="1:22" ht="13.5" thickBot="1" x14ac:dyDescent="0.25"/>
    <row r="4" spans="1:22" ht="24.75" customHeight="1" x14ac:dyDescent="0.2">
      <c r="B4" s="2185"/>
      <c r="C4" s="2193" t="s">
        <v>2465</v>
      </c>
      <c r="D4" s="2193" t="s">
        <v>2466</v>
      </c>
      <c r="E4" s="2193" t="s">
        <v>2467</v>
      </c>
      <c r="F4" s="2193" t="s">
        <v>2468</v>
      </c>
      <c r="G4" s="2193" t="s">
        <v>2469</v>
      </c>
      <c r="H4" s="2193" t="s">
        <v>2470</v>
      </c>
      <c r="I4" s="2193" t="s">
        <v>2471</v>
      </c>
      <c r="J4" s="2195" t="s">
        <v>2472</v>
      </c>
      <c r="K4" s="2203"/>
      <c r="L4" s="2203"/>
      <c r="M4" s="2203"/>
      <c r="N4" s="2203"/>
      <c r="O4" s="2203"/>
      <c r="P4" s="2203"/>
      <c r="Q4" s="2203"/>
      <c r="R4" s="2204"/>
      <c r="S4" s="2193" t="s">
        <v>2473</v>
      </c>
      <c r="T4" s="2193" t="s">
        <v>2474</v>
      </c>
      <c r="U4" s="2193" t="s">
        <v>2475</v>
      </c>
      <c r="V4" s="2201" t="s">
        <v>2476</v>
      </c>
    </row>
    <row r="5" spans="1:22" s="244" customFormat="1" ht="78" customHeight="1" x14ac:dyDescent="0.2">
      <c r="B5" s="2188"/>
      <c r="C5" s="2194"/>
      <c r="D5" s="2194"/>
      <c r="E5" s="2194"/>
      <c r="F5" s="2194"/>
      <c r="G5" s="2194"/>
      <c r="H5" s="2194"/>
      <c r="I5" s="2194"/>
      <c r="J5" s="1711" t="s">
        <v>2477</v>
      </c>
      <c r="K5" s="1711" t="s">
        <v>2478</v>
      </c>
      <c r="L5" s="1711" t="s">
        <v>2479</v>
      </c>
      <c r="M5" s="1711" t="s">
        <v>2480</v>
      </c>
      <c r="N5" s="1711" t="s">
        <v>2481</v>
      </c>
      <c r="O5" s="1711" t="s">
        <v>2482</v>
      </c>
      <c r="P5" s="1711" t="s">
        <v>2483</v>
      </c>
      <c r="Q5" s="1711" t="s">
        <v>2484</v>
      </c>
      <c r="R5" s="1711" t="s">
        <v>2485</v>
      </c>
      <c r="S5" s="2200"/>
      <c r="T5" s="2200"/>
      <c r="U5" s="2200"/>
      <c r="V5" s="2202"/>
    </row>
    <row r="6" spans="1:22" ht="21.75" customHeight="1" x14ac:dyDescent="0.2">
      <c r="B6" s="519" t="s">
        <v>2486</v>
      </c>
      <c r="C6" s="1712" t="s">
        <v>2487</v>
      </c>
      <c r="D6" s="1712">
        <v>20</v>
      </c>
      <c r="E6" s="1712">
        <v>30</v>
      </c>
      <c r="F6" s="1712">
        <v>40</v>
      </c>
      <c r="G6" s="1712">
        <v>50</v>
      </c>
      <c r="H6" s="1712">
        <v>60</v>
      </c>
      <c r="I6" s="1712">
        <v>70</v>
      </c>
      <c r="J6" s="1712">
        <v>80</v>
      </c>
      <c r="K6" s="1712">
        <v>90</v>
      </c>
      <c r="L6" s="1712">
        <v>100</v>
      </c>
      <c r="M6" s="1712">
        <v>110</v>
      </c>
      <c r="N6" s="1712">
        <v>120</v>
      </c>
      <c r="O6" s="1712">
        <v>130</v>
      </c>
      <c r="P6" s="1712">
        <v>140</v>
      </c>
      <c r="Q6" s="1712">
        <v>150</v>
      </c>
      <c r="R6" s="1712">
        <v>160</v>
      </c>
      <c r="S6" s="1712">
        <v>170</v>
      </c>
      <c r="T6" s="1712">
        <v>180</v>
      </c>
      <c r="U6" s="1712">
        <v>190</v>
      </c>
      <c r="V6" s="1713">
        <v>200</v>
      </c>
    </row>
    <row r="7" spans="1:22" ht="20.100000000000001" customHeight="1" thickBot="1" x14ac:dyDescent="0.25">
      <c r="B7" s="1759" t="s">
        <v>2488</v>
      </c>
      <c r="C7" s="1756"/>
      <c r="D7" s="1756"/>
      <c r="E7" s="1756"/>
      <c r="F7" s="1756"/>
      <c r="G7" s="1756"/>
      <c r="H7" s="1756"/>
      <c r="I7" s="1756"/>
      <c r="J7" s="1756"/>
      <c r="K7" s="1756"/>
      <c r="L7" s="1756"/>
      <c r="M7" s="1756"/>
      <c r="N7" s="1756"/>
      <c r="O7" s="1756"/>
      <c r="P7" s="1756"/>
      <c r="Q7" s="1756"/>
      <c r="R7" s="1756"/>
      <c r="S7" s="1756"/>
      <c r="T7" s="1756"/>
      <c r="U7" s="1756"/>
      <c r="V7" s="1760"/>
    </row>
    <row r="9" spans="1:22" ht="15" x14ac:dyDescent="0.25">
      <c r="K9" s="1695"/>
    </row>
    <row r="10" spans="1:22" ht="15" x14ac:dyDescent="0.25">
      <c r="K10" s="1695"/>
    </row>
    <row r="11" spans="1:22" ht="15" x14ac:dyDescent="0.25">
      <c r="K11" s="1695"/>
    </row>
    <row r="12" spans="1:22" ht="15" x14ac:dyDescent="0.25">
      <c r="K12" s="1695"/>
    </row>
    <row r="13" spans="1:22" ht="15" x14ac:dyDescent="0.25">
      <c r="K13" s="1695"/>
    </row>
    <row r="14" spans="1:22" ht="15" x14ac:dyDescent="0.25">
      <c r="K14" s="1695"/>
    </row>
    <row r="15" spans="1:22" ht="15" x14ac:dyDescent="0.25">
      <c r="K15" s="1695"/>
    </row>
    <row r="16" spans="1:22" ht="15" x14ac:dyDescent="0.25">
      <c r="K16" s="1695"/>
    </row>
    <row r="17" spans="11:11" ht="15" x14ac:dyDescent="0.25">
      <c r="K17" s="1695"/>
    </row>
    <row r="18" spans="11:11" ht="15" x14ac:dyDescent="0.25">
      <c r="K18" s="1695"/>
    </row>
    <row r="19" spans="11:11" ht="15" x14ac:dyDescent="0.25">
      <c r="K19" s="1695"/>
    </row>
    <row r="20" spans="11:11" ht="15" x14ac:dyDescent="0.25">
      <c r="K20" s="1695"/>
    </row>
    <row r="21" spans="11:11" ht="15" x14ac:dyDescent="0.25">
      <c r="K21" s="1695"/>
    </row>
    <row r="22" spans="11:11" ht="15" x14ac:dyDescent="0.25">
      <c r="K22" s="1695"/>
    </row>
    <row r="23" spans="11:11" ht="15" x14ac:dyDescent="0.25">
      <c r="K23" s="1695"/>
    </row>
    <row r="24" spans="11:11" ht="15" x14ac:dyDescent="0.25">
      <c r="K24" s="1695"/>
    </row>
    <row r="25" spans="11:11" ht="15" x14ac:dyDescent="0.25">
      <c r="K25" s="1695"/>
    </row>
    <row r="26" spans="11:11" ht="15" x14ac:dyDescent="0.25">
      <c r="K26" s="1695"/>
    </row>
    <row r="27" spans="11:11" ht="15" x14ac:dyDescent="0.25">
      <c r="K27" s="1695"/>
    </row>
    <row r="28" spans="11:11" ht="15" x14ac:dyDescent="0.25">
      <c r="K28" s="1695"/>
    </row>
    <row r="29" spans="11:11" ht="15" x14ac:dyDescent="0.25">
      <c r="K29" s="1695"/>
    </row>
    <row r="30" spans="11:11" ht="15" x14ac:dyDescent="0.25">
      <c r="K30" s="1695"/>
    </row>
    <row r="31" spans="11:11" ht="15" x14ac:dyDescent="0.25">
      <c r="K31" s="1695"/>
    </row>
    <row r="32" spans="11:11" ht="15" x14ac:dyDescent="0.25">
      <c r="K32" s="1695"/>
    </row>
    <row r="33" spans="11:11" ht="15" x14ac:dyDescent="0.25">
      <c r="K33" s="1695"/>
    </row>
    <row r="34" spans="11:11" ht="15" x14ac:dyDescent="0.25">
      <c r="K34" s="1695"/>
    </row>
    <row r="35" spans="11:11" ht="15" x14ac:dyDescent="0.25">
      <c r="K35" s="1695"/>
    </row>
    <row r="36" spans="11:11" ht="15" x14ac:dyDescent="0.25">
      <c r="K36" s="1695"/>
    </row>
    <row r="37" spans="11:11" ht="15" x14ac:dyDescent="0.25">
      <c r="K37" s="1695"/>
    </row>
    <row r="38" spans="11:11" ht="15" x14ac:dyDescent="0.25">
      <c r="K38" s="1695"/>
    </row>
    <row r="39" spans="11:11" ht="15" x14ac:dyDescent="0.25">
      <c r="K39" s="1695"/>
    </row>
    <row r="40" spans="11:11" ht="15" x14ac:dyDescent="0.25">
      <c r="K40" s="1695"/>
    </row>
    <row r="41" spans="11:11" ht="15" x14ac:dyDescent="0.25">
      <c r="K41" s="1695"/>
    </row>
    <row r="42" spans="11:11" ht="15" x14ac:dyDescent="0.25">
      <c r="K42" s="1695"/>
    </row>
    <row r="43" spans="11:11" ht="15" x14ac:dyDescent="0.25">
      <c r="K43" s="1695"/>
    </row>
    <row r="44" spans="11:11" ht="15" x14ac:dyDescent="0.25">
      <c r="K44" s="1695"/>
    </row>
    <row r="45" spans="11:11" ht="15" x14ac:dyDescent="0.25">
      <c r="K45" s="1695"/>
    </row>
    <row r="46" spans="11:11" ht="15" x14ac:dyDescent="0.25">
      <c r="K46" s="1695"/>
    </row>
    <row r="47" spans="11:11" ht="15" x14ac:dyDescent="0.25">
      <c r="K47" s="1695"/>
    </row>
    <row r="48" spans="11:11" ht="15" x14ac:dyDescent="0.25">
      <c r="K48" s="1695"/>
    </row>
    <row r="49" spans="11:11" ht="15" x14ac:dyDescent="0.25">
      <c r="K49" s="1695"/>
    </row>
    <row r="50" spans="11:11" ht="15" x14ac:dyDescent="0.25">
      <c r="K50" s="1695"/>
    </row>
    <row r="51" spans="11:11" ht="15" x14ac:dyDescent="0.25">
      <c r="K51" s="1695"/>
    </row>
    <row r="52" spans="11:11" ht="15" x14ac:dyDescent="0.25">
      <c r="K52" s="1695"/>
    </row>
    <row r="53" spans="11:11" ht="15" x14ac:dyDescent="0.25">
      <c r="K53" s="1695"/>
    </row>
  </sheetData>
  <mergeCells count="14">
    <mergeCell ref="S4:S5"/>
    <mergeCell ref="T4:T5"/>
    <mergeCell ref="U4:U5"/>
    <mergeCell ref="V4:V5"/>
    <mergeCell ref="B2:V2"/>
    <mergeCell ref="B4:B5"/>
    <mergeCell ref="C4:C5"/>
    <mergeCell ref="D4:D5"/>
    <mergeCell ref="E4:E5"/>
    <mergeCell ref="F4:F5"/>
    <mergeCell ref="G4:G5"/>
    <mergeCell ref="H4:H5"/>
    <mergeCell ref="I4:I5"/>
    <mergeCell ref="J4:R4"/>
  </mergeCells>
  <pageMargins left="0.7" right="0.7" top="0.75" bottom="0.75" header="0.3" footer="0.3"/>
  <pageSetup paperSize="9" scale="4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B1:M54"/>
  <sheetViews>
    <sheetView showGridLines="0" zoomScale="40" zoomScaleNormal="40" zoomScaleSheetLayoutView="55" workbookViewId="0">
      <selection activeCell="F20" sqref="F20"/>
    </sheetView>
  </sheetViews>
  <sheetFormatPr defaultColWidth="13.33203125" defaultRowHeight="12.6" x14ac:dyDescent="0.2"/>
  <cols>
    <col min="1" max="1" width="2.5546875" style="122" customWidth="1"/>
    <col min="2" max="2" width="13.33203125" style="124" customWidth="1"/>
    <col min="3" max="3" width="8.5546875" style="122" customWidth="1"/>
    <col min="4" max="4" width="7.109375" style="122" customWidth="1"/>
    <col min="5" max="5" width="32.33203125" style="122" customWidth="1"/>
    <col min="6" max="6" width="63.5546875" style="122" customWidth="1"/>
    <col min="7" max="11" width="22.6640625" style="125" customWidth="1"/>
    <col min="12" max="12" width="22.6640625" style="122" customWidth="1"/>
    <col min="13" max="13" width="23.5546875" style="122" customWidth="1"/>
    <col min="14" max="254" width="11.44140625" style="122" customWidth="1"/>
    <col min="255" max="16384" width="13.33203125" style="122"/>
  </cols>
  <sheetData>
    <row r="1" spans="2:13" ht="13.5" thickBot="1" x14ac:dyDescent="0.25"/>
    <row r="2" spans="2:13" s="109" customFormat="1" ht="36" customHeight="1" thickBot="1" x14ac:dyDescent="0.35">
      <c r="B2" s="2205" t="s">
        <v>2489</v>
      </c>
      <c r="C2" s="2206"/>
      <c r="D2" s="2206"/>
      <c r="E2" s="2206"/>
      <c r="F2" s="2206"/>
      <c r="G2" s="2206"/>
      <c r="H2" s="2206"/>
      <c r="I2" s="2206"/>
      <c r="J2" s="2206"/>
      <c r="K2" s="2206"/>
      <c r="L2" s="2206"/>
      <c r="M2" s="2207"/>
    </row>
    <row r="3" spans="2:13" s="475" customFormat="1" ht="9" customHeight="1" x14ac:dyDescent="0.25">
      <c r="B3" s="476"/>
      <c r="C3" s="476"/>
      <c r="D3" s="476"/>
      <c r="E3" s="476"/>
      <c r="F3" s="476"/>
      <c r="G3" s="476"/>
      <c r="H3" s="476"/>
      <c r="I3" s="476"/>
      <c r="J3" s="476"/>
      <c r="K3" s="476"/>
      <c r="L3" s="476"/>
      <c r="M3" s="476"/>
    </row>
    <row r="4" spans="2:13" s="112" customFormat="1" ht="29.25" customHeight="1" x14ac:dyDescent="0.25">
      <c r="B4" s="110"/>
      <c r="C4" s="111" t="s">
        <v>2490</v>
      </c>
      <c r="E4" s="113"/>
      <c r="F4" s="407"/>
      <c r="G4" s="114"/>
      <c r="H4" s="114"/>
      <c r="I4" s="115"/>
      <c r="J4" s="115"/>
      <c r="K4" s="115"/>
    </row>
    <row r="5" spans="2:13" s="112" customFormat="1" ht="9.75" customHeight="1" thickBot="1" x14ac:dyDescent="0.3">
      <c r="B5" s="110"/>
      <c r="C5" s="116"/>
      <c r="E5" s="113"/>
      <c r="F5" s="117"/>
      <c r="G5" s="114"/>
      <c r="H5" s="118"/>
      <c r="I5" s="115"/>
      <c r="J5" s="115"/>
      <c r="K5" s="115"/>
    </row>
    <row r="6" spans="2:13" ht="15.75" customHeight="1" x14ac:dyDescent="0.3">
      <c r="B6" s="483"/>
      <c r="C6" s="484"/>
      <c r="D6" s="484"/>
      <c r="E6" s="484"/>
      <c r="F6" s="485"/>
      <c r="G6" s="2211" t="s">
        <v>2491</v>
      </c>
      <c r="H6" s="2211"/>
      <c r="I6" s="2211"/>
      <c r="J6" s="2211"/>
      <c r="K6" s="2212"/>
      <c r="L6" s="2213" t="s">
        <v>2492</v>
      </c>
      <c r="M6" s="2216" t="s">
        <v>2493</v>
      </c>
    </row>
    <row r="7" spans="2:13" ht="67.5" customHeight="1" x14ac:dyDescent="0.3">
      <c r="B7" s="486"/>
      <c r="C7" s="487"/>
      <c r="D7" s="487"/>
      <c r="E7" s="487"/>
      <c r="F7" s="488"/>
      <c r="G7" s="2218" t="s">
        <v>2494</v>
      </c>
      <c r="H7" s="2219"/>
      <c r="I7" s="2220" t="s">
        <v>2495</v>
      </c>
      <c r="J7" s="2219"/>
      <c r="K7" s="2221" t="s">
        <v>2496</v>
      </c>
      <c r="L7" s="2214"/>
      <c r="M7" s="2217"/>
    </row>
    <row r="8" spans="2:13" ht="49.5" customHeight="1" x14ac:dyDescent="0.3">
      <c r="B8" s="486"/>
      <c r="C8" s="487"/>
      <c r="D8" s="487"/>
      <c r="E8" s="487"/>
      <c r="F8" s="488"/>
      <c r="G8" s="477" t="s">
        <v>2497</v>
      </c>
      <c r="H8" s="478" t="s">
        <v>2498</v>
      </c>
      <c r="I8" s="479" t="s">
        <v>2499</v>
      </c>
      <c r="J8" s="479" t="s">
        <v>2500</v>
      </c>
      <c r="K8" s="2215"/>
      <c r="L8" s="2215"/>
      <c r="M8" s="2217"/>
    </row>
    <row r="9" spans="2:13" ht="20.25" customHeight="1" x14ac:dyDescent="0.2">
      <c r="B9" s="489"/>
      <c r="C9" s="490"/>
      <c r="D9" s="490"/>
      <c r="E9" s="490"/>
      <c r="F9" s="491"/>
      <c r="G9" s="480" t="s">
        <v>2501</v>
      </c>
      <c r="H9" s="481" t="s">
        <v>2502</v>
      </c>
      <c r="I9" s="482" t="s">
        <v>2503</v>
      </c>
      <c r="J9" s="482" t="s">
        <v>2504</v>
      </c>
      <c r="K9" s="482" t="s">
        <v>2505</v>
      </c>
      <c r="L9" s="492" t="s">
        <v>2506</v>
      </c>
      <c r="M9" s="493" t="s">
        <v>2507</v>
      </c>
    </row>
    <row r="10" spans="2:13" s="123" customFormat="1" ht="24.9" customHeight="1" x14ac:dyDescent="0.3">
      <c r="B10" s="516" t="s">
        <v>2508</v>
      </c>
      <c r="C10" s="494" t="s">
        <v>2509</v>
      </c>
      <c r="D10" s="495"/>
      <c r="E10" s="495"/>
      <c r="F10" s="496"/>
      <c r="G10" s="763"/>
      <c r="H10" s="764"/>
      <c r="I10" s="765"/>
      <c r="J10" s="765"/>
      <c r="K10" s="765"/>
      <c r="L10" s="766"/>
      <c r="M10" s="767" t="s">
        <v>2510</v>
      </c>
    </row>
    <row r="11" spans="2:13" s="123" customFormat="1" ht="24.9" customHeight="1" x14ac:dyDescent="0.3">
      <c r="B11" s="414" t="s">
        <v>2511</v>
      </c>
      <c r="C11" s="497" t="s">
        <v>2512</v>
      </c>
      <c r="D11" s="498"/>
      <c r="E11" s="498"/>
      <c r="F11" s="499"/>
      <c r="G11" s="768"/>
      <c r="H11" s="769"/>
      <c r="I11" s="770"/>
      <c r="J11" s="770"/>
      <c r="K11" s="770"/>
      <c r="L11" s="771"/>
      <c r="M11" s="772"/>
    </row>
    <row r="12" spans="2:13" s="123" customFormat="1" ht="24.9" customHeight="1" x14ac:dyDescent="0.3">
      <c r="B12" s="414" t="s">
        <v>2513</v>
      </c>
      <c r="C12" s="2208" t="s">
        <v>2514</v>
      </c>
      <c r="D12" s="2209"/>
      <c r="E12" s="2209"/>
      <c r="F12" s="2210"/>
      <c r="G12" s="549"/>
      <c r="H12" s="773"/>
      <c r="I12" s="770"/>
      <c r="J12" s="770"/>
      <c r="K12" s="770"/>
      <c r="L12" s="774"/>
      <c r="M12" s="775"/>
    </row>
    <row r="13" spans="2:13" s="123" customFormat="1" ht="24.9" customHeight="1" x14ac:dyDescent="0.3">
      <c r="B13" s="414" t="s">
        <v>2515</v>
      </c>
      <c r="C13" s="2208" t="s">
        <v>2516</v>
      </c>
      <c r="D13" s="2209"/>
      <c r="E13" s="2209"/>
      <c r="F13" s="2210"/>
      <c r="G13" s="549"/>
      <c r="H13" s="773"/>
      <c r="I13" s="770"/>
      <c r="J13" s="770"/>
      <c r="K13" s="770"/>
      <c r="L13" s="774"/>
      <c r="M13" s="775"/>
    </row>
    <row r="14" spans="2:13" ht="24.9" customHeight="1" x14ac:dyDescent="0.2">
      <c r="B14" s="517" t="s">
        <v>2517</v>
      </c>
      <c r="C14" s="452" t="s">
        <v>2518</v>
      </c>
      <c r="D14" s="454"/>
      <c r="E14" s="454"/>
      <c r="F14" s="500"/>
      <c r="G14" s="549"/>
      <c r="H14" s="773"/>
      <c r="I14" s="773"/>
      <c r="J14" s="773"/>
      <c r="K14" s="773"/>
      <c r="L14" s="776"/>
      <c r="M14" s="772"/>
    </row>
    <row r="15" spans="2:13" ht="24.9" customHeight="1" x14ac:dyDescent="0.2">
      <c r="B15" s="517" t="s">
        <v>2519</v>
      </c>
      <c r="C15" s="501" t="s">
        <v>2520</v>
      </c>
      <c r="D15" s="454"/>
      <c r="E15" s="454"/>
      <c r="F15" s="502"/>
      <c r="G15" s="549"/>
      <c r="H15" s="773"/>
      <c r="I15" s="773"/>
      <c r="J15" s="773"/>
      <c r="K15" s="777"/>
      <c r="L15" s="778"/>
      <c r="M15" s="772"/>
    </row>
    <row r="16" spans="2:13" ht="24.9" customHeight="1" x14ac:dyDescent="0.2">
      <c r="B16" s="517" t="s">
        <v>2521</v>
      </c>
      <c r="C16" s="503"/>
      <c r="D16" s="454" t="s">
        <v>2522</v>
      </c>
      <c r="E16" s="454"/>
      <c r="F16" s="502"/>
      <c r="G16" s="779"/>
      <c r="H16" s="777"/>
      <c r="I16" s="773"/>
      <c r="J16" s="773"/>
      <c r="K16" s="777"/>
      <c r="L16" s="778"/>
      <c r="M16" s="772"/>
    </row>
    <row r="17" spans="2:13" ht="24.9" customHeight="1" x14ac:dyDescent="0.2">
      <c r="B17" s="517" t="s">
        <v>2523</v>
      </c>
      <c r="C17" s="503"/>
      <c r="D17" s="454" t="s">
        <v>2524</v>
      </c>
      <c r="E17" s="454"/>
      <c r="F17" s="502"/>
      <c r="G17" s="779"/>
      <c r="H17" s="777"/>
      <c r="I17" s="773"/>
      <c r="J17" s="773"/>
      <c r="K17" s="777"/>
      <c r="L17" s="778"/>
      <c r="M17" s="772"/>
    </row>
    <row r="18" spans="2:13" ht="24.9" customHeight="1" x14ac:dyDescent="0.2">
      <c r="B18" s="517" t="s">
        <v>2525</v>
      </c>
      <c r="C18" s="503"/>
      <c r="D18" s="454" t="s">
        <v>2526</v>
      </c>
      <c r="E18" s="454"/>
      <c r="F18" s="502"/>
      <c r="G18" s="779"/>
      <c r="H18" s="777"/>
      <c r="I18" s="773"/>
      <c r="J18" s="773"/>
      <c r="K18" s="777"/>
      <c r="L18" s="778"/>
      <c r="M18" s="772"/>
    </row>
    <row r="19" spans="2:13" ht="24.9" customHeight="1" x14ac:dyDescent="0.2">
      <c r="B19" s="517" t="s">
        <v>2527</v>
      </c>
      <c r="C19" s="503"/>
      <c r="D19" s="454" t="s">
        <v>2528</v>
      </c>
      <c r="E19" s="454"/>
      <c r="F19" s="502"/>
      <c r="G19" s="779"/>
      <c r="H19" s="777"/>
      <c r="I19" s="773"/>
      <c r="J19" s="773"/>
      <c r="K19" s="777"/>
      <c r="L19" s="778"/>
      <c r="M19" s="772"/>
    </row>
    <row r="20" spans="2:13" ht="24.9" customHeight="1" x14ac:dyDescent="0.2">
      <c r="B20" s="517" t="s">
        <v>2529</v>
      </c>
      <c r="C20" s="501" t="s">
        <v>2530</v>
      </c>
      <c r="D20" s="454"/>
      <c r="E20" s="454"/>
      <c r="F20" s="502"/>
      <c r="G20" s="549"/>
      <c r="H20" s="773"/>
      <c r="I20" s="773"/>
      <c r="J20" s="773"/>
      <c r="K20" s="777"/>
      <c r="L20" s="778"/>
      <c r="M20" s="772"/>
    </row>
    <row r="21" spans="2:13" ht="24.9" customHeight="1" x14ac:dyDescent="0.2">
      <c r="B21" s="517" t="s">
        <v>2531</v>
      </c>
      <c r="C21" s="503"/>
      <c r="D21" s="454" t="s">
        <v>2532</v>
      </c>
      <c r="E21" s="454"/>
      <c r="F21" s="502"/>
      <c r="G21" s="779"/>
      <c r="H21" s="777"/>
      <c r="I21" s="773"/>
      <c r="J21" s="773"/>
      <c r="K21" s="777"/>
      <c r="L21" s="778"/>
      <c r="M21" s="772"/>
    </row>
    <row r="22" spans="2:13" ht="24.9" customHeight="1" x14ac:dyDescent="0.2">
      <c r="B22" s="517" t="s">
        <v>2533</v>
      </c>
      <c r="C22" s="503"/>
      <c r="D22" s="454" t="s">
        <v>2534</v>
      </c>
      <c r="E22" s="454"/>
      <c r="F22" s="502"/>
      <c r="G22" s="779"/>
      <c r="H22" s="777"/>
      <c r="I22" s="773"/>
      <c r="J22" s="773"/>
      <c r="K22" s="777"/>
      <c r="L22" s="778"/>
      <c r="M22" s="772"/>
    </row>
    <row r="23" spans="2:13" ht="24.9" customHeight="1" x14ac:dyDescent="0.2">
      <c r="B23" s="517" t="s">
        <v>2535</v>
      </c>
      <c r="C23" s="503"/>
      <c r="D23" s="454" t="s">
        <v>2536</v>
      </c>
      <c r="E23" s="454"/>
      <c r="F23" s="502"/>
      <c r="G23" s="779"/>
      <c r="H23" s="777"/>
      <c r="I23" s="773"/>
      <c r="J23" s="773"/>
      <c r="K23" s="777"/>
      <c r="L23" s="778"/>
      <c r="M23" s="772"/>
    </row>
    <row r="24" spans="2:13" ht="24.9" customHeight="1" x14ac:dyDescent="0.2">
      <c r="B24" s="517" t="s">
        <v>2537</v>
      </c>
      <c r="C24" s="501" t="s">
        <v>2538</v>
      </c>
      <c r="D24" s="454"/>
      <c r="E24" s="454"/>
      <c r="F24" s="502"/>
      <c r="G24" s="549"/>
      <c r="H24" s="773"/>
      <c r="I24" s="773"/>
      <c r="J24" s="773"/>
      <c r="K24" s="777"/>
      <c r="L24" s="778"/>
      <c r="M24" s="772"/>
    </row>
    <row r="25" spans="2:13" ht="24.9" customHeight="1" x14ac:dyDescent="0.2">
      <c r="B25" s="517" t="s">
        <v>2539</v>
      </c>
      <c r="C25" s="503"/>
      <c r="D25" s="454" t="s">
        <v>2540</v>
      </c>
      <c r="E25" s="454"/>
      <c r="F25" s="502"/>
      <c r="G25" s="779"/>
      <c r="H25" s="777"/>
      <c r="I25" s="773"/>
      <c r="J25" s="773"/>
      <c r="K25" s="777"/>
      <c r="L25" s="778"/>
      <c r="M25" s="772"/>
    </row>
    <row r="26" spans="2:13" ht="24.9" customHeight="1" x14ac:dyDescent="0.2">
      <c r="B26" s="517" t="s">
        <v>2541</v>
      </c>
      <c r="C26" s="503"/>
      <c r="D26" s="454" t="s">
        <v>2542</v>
      </c>
      <c r="E26" s="454"/>
      <c r="F26" s="502"/>
      <c r="G26" s="779"/>
      <c r="H26" s="777"/>
      <c r="I26" s="773"/>
      <c r="J26" s="773"/>
      <c r="K26" s="777"/>
      <c r="L26" s="778"/>
      <c r="M26" s="772"/>
    </row>
    <row r="27" spans="2:13" ht="24.9" customHeight="1" x14ac:dyDescent="0.2">
      <c r="B27" s="517" t="s">
        <v>2543</v>
      </c>
      <c r="C27" s="503"/>
      <c r="D27" s="454" t="s">
        <v>2544</v>
      </c>
      <c r="E27" s="454"/>
      <c r="F27" s="502"/>
      <c r="G27" s="779"/>
      <c r="H27" s="777"/>
      <c r="I27" s="773"/>
      <c r="J27" s="773"/>
      <c r="K27" s="777"/>
      <c r="L27" s="778"/>
      <c r="M27" s="772"/>
    </row>
    <row r="28" spans="2:13" ht="24.9" customHeight="1" x14ac:dyDescent="0.2">
      <c r="B28" s="517" t="s">
        <v>2545</v>
      </c>
      <c r="C28" s="503"/>
      <c r="D28" s="454" t="s">
        <v>2546</v>
      </c>
      <c r="E28" s="454"/>
      <c r="F28" s="502"/>
      <c r="G28" s="779"/>
      <c r="H28" s="777"/>
      <c r="I28" s="773"/>
      <c r="J28" s="773"/>
      <c r="K28" s="777"/>
      <c r="L28" s="778"/>
      <c r="M28" s="772"/>
    </row>
    <row r="29" spans="2:13" ht="24.9" customHeight="1" x14ac:dyDescent="0.2">
      <c r="B29" s="517" t="s">
        <v>2547</v>
      </c>
      <c r="C29" s="503"/>
      <c r="D29" s="454" t="s">
        <v>2548</v>
      </c>
      <c r="E29" s="454"/>
      <c r="F29" s="502"/>
      <c r="G29" s="779"/>
      <c r="H29" s="777"/>
      <c r="I29" s="773"/>
      <c r="J29" s="773"/>
      <c r="K29" s="777"/>
      <c r="L29" s="778"/>
      <c r="M29" s="772"/>
    </row>
    <row r="30" spans="2:13" ht="24.9" customHeight="1" x14ac:dyDescent="0.2">
      <c r="B30" s="517" t="s">
        <v>2549</v>
      </c>
      <c r="C30" s="503"/>
      <c r="D30" s="454" t="s">
        <v>2550</v>
      </c>
      <c r="E30" s="454"/>
      <c r="F30" s="502"/>
      <c r="G30" s="779"/>
      <c r="H30" s="777"/>
      <c r="I30" s="773"/>
      <c r="J30" s="773"/>
      <c r="K30" s="777"/>
      <c r="L30" s="778"/>
      <c r="M30" s="772"/>
    </row>
    <row r="31" spans="2:13" ht="24.9" customHeight="1" x14ac:dyDescent="0.2">
      <c r="B31" s="517" t="s">
        <v>2551</v>
      </c>
      <c r="C31" s="503"/>
      <c r="D31" s="454" t="s">
        <v>2552</v>
      </c>
      <c r="E31" s="454"/>
      <c r="F31" s="502"/>
      <c r="G31" s="779"/>
      <c r="H31" s="777"/>
      <c r="I31" s="773"/>
      <c r="J31" s="773"/>
      <c r="K31" s="777"/>
      <c r="L31" s="778"/>
      <c r="M31" s="772"/>
    </row>
    <row r="32" spans="2:13" ht="24.9" customHeight="1" x14ac:dyDescent="0.2">
      <c r="B32" s="517" t="s">
        <v>2553</v>
      </c>
      <c r="C32" s="503"/>
      <c r="D32" s="454" t="s">
        <v>2554</v>
      </c>
      <c r="E32" s="454"/>
      <c r="F32" s="502"/>
      <c r="G32" s="779"/>
      <c r="H32" s="777"/>
      <c r="I32" s="773"/>
      <c r="J32" s="773"/>
      <c r="K32" s="777"/>
      <c r="L32" s="777"/>
      <c r="M32" s="780"/>
    </row>
    <row r="33" spans="2:13" ht="24.9" customHeight="1" x14ac:dyDescent="0.2">
      <c r="B33" s="517" t="s">
        <v>2555</v>
      </c>
      <c r="C33" s="452" t="s">
        <v>2556</v>
      </c>
      <c r="D33" s="454"/>
      <c r="E33" s="454"/>
      <c r="F33" s="500"/>
      <c r="G33" s="781"/>
      <c r="H33" s="782"/>
      <c r="I33" s="773"/>
      <c r="J33" s="773"/>
      <c r="K33" s="773"/>
      <c r="L33" s="783"/>
      <c r="M33" s="772"/>
    </row>
    <row r="34" spans="2:13" ht="24.9" customHeight="1" x14ac:dyDescent="0.2">
      <c r="B34" s="517" t="s">
        <v>2557</v>
      </c>
      <c r="C34" s="501" t="s">
        <v>2558</v>
      </c>
      <c r="D34" s="504"/>
      <c r="E34" s="454"/>
      <c r="F34" s="500"/>
      <c r="G34" s="781"/>
      <c r="H34" s="782"/>
      <c r="I34" s="773"/>
      <c r="J34" s="773"/>
      <c r="K34" s="777"/>
      <c r="L34" s="778"/>
      <c r="M34" s="772"/>
    </row>
    <row r="35" spans="2:13" ht="24.9" customHeight="1" x14ac:dyDescent="0.2">
      <c r="B35" s="517" t="s">
        <v>2559</v>
      </c>
      <c r="C35" s="501" t="s">
        <v>2560</v>
      </c>
      <c r="D35" s="504"/>
      <c r="E35" s="454"/>
      <c r="F35" s="500"/>
      <c r="G35" s="781"/>
      <c r="H35" s="782"/>
      <c r="I35" s="773"/>
      <c r="J35" s="773"/>
      <c r="K35" s="777"/>
      <c r="L35" s="778"/>
      <c r="M35" s="772"/>
    </row>
    <row r="36" spans="2:13" ht="24.9" customHeight="1" x14ac:dyDescent="0.2">
      <c r="B36" s="517" t="s">
        <v>2561</v>
      </c>
      <c r="C36" s="501" t="s">
        <v>2562</v>
      </c>
      <c r="D36" s="504"/>
      <c r="E36" s="454"/>
      <c r="F36" s="500"/>
      <c r="G36" s="781"/>
      <c r="H36" s="782"/>
      <c r="I36" s="773"/>
      <c r="J36" s="773"/>
      <c r="K36" s="777"/>
      <c r="L36" s="778"/>
      <c r="M36" s="772"/>
    </row>
    <row r="37" spans="2:13" ht="24.9" customHeight="1" x14ac:dyDescent="0.3">
      <c r="B37" s="517" t="s">
        <v>2563</v>
      </c>
      <c r="C37" s="497" t="s">
        <v>2564</v>
      </c>
      <c r="D37" s="454"/>
      <c r="E37" s="454"/>
      <c r="F37" s="500"/>
      <c r="G37" s="549"/>
      <c r="H37" s="782"/>
      <c r="I37" s="773"/>
      <c r="J37" s="773"/>
      <c r="K37" s="773"/>
      <c r="L37" s="776"/>
      <c r="M37" s="772"/>
    </row>
    <row r="38" spans="2:13" ht="24.9" customHeight="1" x14ac:dyDescent="0.2">
      <c r="B38" s="517">
        <v>251</v>
      </c>
      <c r="C38" s="505" t="s">
        <v>2565</v>
      </c>
      <c r="D38" s="506"/>
      <c r="E38" s="506"/>
      <c r="F38" s="507"/>
      <c r="G38" s="784"/>
      <c r="H38" s="785"/>
      <c r="I38" s="786"/>
      <c r="J38" s="786"/>
      <c r="K38" s="786"/>
      <c r="L38" s="776"/>
      <c r="M38" s="772"/>
    </row>
    <row r="39" spans="2:13" ht="24.9" customHeight="1" x14ac:dyDescent="0.2">
      <c r="B39" s="517" t="s">
        <v>2566</v>
      </c>
      <c r="C39" s="509" t="s">
        <v>2567</v>
      </c>
      <c r="D39" s="510"/>
      <c r="E39" s="510"/>
      <c r="F39" s="511"/>
      <c r="G39" s="549"/>
      <c r="H39" s="782"/>
      <c r="I39" s="773"/>
      <c r="J39" s="773"/>
      <c r="K39" s="773"/>
      <c r="L39" s="776"/>
      <c r="M39" s="772"/>
    </row>
    <row r="40" spans="2:13" ht="24.9" customHeight="1" x14ac:dyDescent="0.2">
      <c r="B40" s="517" t="s">
        <v>2568</v>
      </c>
      <c r="C40" s="509" t="s">
        <v>2569</v>
      </c>
      <c r="D40" s="506"/>
      <c r="E40" s="506"/>
      <c r="F40" s="512"/>
      <c r="G40" s="549"/>
      <c r="H40" s="782"/>
      <c r="I40" s="773"/>
      <c r="J40" s="773"/>
      <c r="K40" s="773"/>
      <c r="L40" s="776"/>
      <c r="M40" s="772"/>
    </row>
    <row r="41" spans="2:13" ht="24.9" customHeight="1" x14ac:dyDescent="0.2">
      <c r="B41" s="517" t="s">
        <v>2570</v>
      </c>
      <c r="C41" s="513" t="s">
        <v>2571</v>
      </c>
      <c r="D41" s="506"/>
      <c r="E41" s="514"/>
      <c r="F41" s="512"/>
      <c r="G41" s="549"/>
      <c r="H41" s="782"/>
      <c r="I41" s="773"/>
      <c r="J41" s="773"/>
      <c r="K41" s="787"/>
      <c r="L41" s="776"/>
      <c r="M41" s="772"/>
    </row>
    <row r="42" spans="2:13" ht="24.9" customHeight="1" x14ac:dyDescent="0.2">
      <c r="B42" s="517" t="s">
        <v>2572</v>
      </c>
      <c r="C42" s="513" t="s">
        <v>2573</v>
      </c>
      <c r="D42" s="506"/>
      <c r="E42" s="514"/>
      <c r="F42" s="512"/>
      <c r="G42" s="549"/>
      <c r="H42" s="782"/>
      <c r="I42" s="773"/>
      <c r="J42" s="773"/>
      <c r="K42" s="787"/>
      <c r="L42" s="776"/>
      <c r="M42" s="772"/>
    </row>
    <row r="43" spans="2:13" ht="24.9" customHeight="1" x14ac:dyDescent="0.2">
      <c r="B43" s="517" t="s">
        <v>2574</v>
      </c>
      <c r="C43" s="513" t="s">
        <v>2575</v>
      </c>
      <c r="D43" s="506"/>
      <c r="E43" s="514"/>
      <c r="F43" s="512"/>
      <c r="G43" s="549"/>
      <c r="H43" s="782"/>
      <c r="I43" s="773"/>
      <c r="J43" s="773"/>
      <c r="K43" s="787"/>
      <c r="L43" s="776"/>
      <c r="M43" s="772"/>
    </row>
    <row r="44" spans="2:13" ht="24.9" customHeight="1" x14ac:dyDescent="0.2">
      <c r="B44" s="517" t="s">
        <v>2576</v>
      </c>
      <c r="C44" s="509" t="s">
        <v>2577</v>
      </c>
      <c r="D44" s="506"/>
      <c r="E44" s="506"/>
      <c r="F44" s="512"/>
      <c r="G44" s="549"/>
      <c r="H44" s="782"/>
      <c r="I44" s="773"/>
      <c r="J44" s="773"/>
      <c r="K44" s="787"/>
      <c r="L44" s="776"/>
      <c r="M44" s="772"/>
    </row>
    <row r="45" spans="2:13" ht="24.9" customHeight="1" x14ac:dyDescent="0.2">
      <c r="B45" s="517" t="s">
        <v>2578</v>
      </c>
      <c r="C45" s="509" t="s">
        <v>2579</v>
      </c>
      <c r="D45" s="506"/>
      <c r="E45" s="506"/>
      <c r="F45" s="512"/>
      <c r="G45" s="549"/>
      <c r="H45" s="782"/>
      <c r="I45" s="773"/>
      <c r="J45" s="773"/>
      <c r="K45" s="787"/>
      <c r="L45" s="776"/>
      <c r="M45" s="772"/>
    </row>
    <row r="46" spans="2:13" ht="24.9" customHeight="1" x14ac:dyDescent="0.2">
      <c r="B46" s="517" t="s">
        <v>2580</v>
      </c>
      <c r="C46" s="515" t="s">
        <v>2581</v>
      </c>
      <c r="D46" s="506"/>
      <c r="E46" s="506"/>
      <c r="F46" s="512"/>
      <c r="G46" s="549"/>
      <c r="H46" s="782"/>
      <c r="I46" s="773"/>
      <c r="J46" s="773"/>
      <c r="K46" s="787"/>
      <c r="L46" s="776"/>
      <c r="M46" s="788"/>
    </row>
    <row r="47" spans="2:13" ht="24.9" customHeight="1" x14ac:dyDescent="0.2">
      <c r="B47" s="517">
        <v>325</v>
      </c>
      <c r="C47" s="505" t="s">
        <v>2582</v>
      </c>
      <c r="D47" s="508"/>
      <c r="E47" s="506"/>
      <c r="F47" s="507"/>
      <c r="G47" s="784"/>
      <c r="H47" s="785"/>
      <c r="I47" s="786"/>
      <c r="J47" s="786"/>
      <c r="K47" s="786"/>
      <c r="L47" s="776"/>
      <c r="M47" s="788"/>
    </row>
    <row r="48" spans="2:13" ht="24.9" customHeight="1" x14ac:dyDescent="0.2">
      <c r="B48" s="517">
        <v>330</v>
      </c>
      <c r="C48" s="505" t="s">
        <v>2583</v>
      </c>
      <c r="D48" s="508"/>
      <c r="E48" s="506"/>
      <c r="F48" s="507"/>
      <c r="G48" s="784"/>
      <c r="H48" s="785"/>
      <c r="I48" s="786"/>
      <c r="J48" s="786"/>
      <c r="K48" s="786"/>
      <c r="L48" s="776"/>
      <c r="M48" s="788"/>
    </row>
    <row r="49" spans="2:13" ht="24.9" customHeight="1" x14ac:dyDescent="0.2">
      <c r="B49" s="517" t="s">
        <v>2584</v>
      </c>
      <c r="C49" s="503" t="s">
        <v>2585</v>
      </c>
      <c r="D49" s="453"/>
      <c r="E49" s="454"/>
      <c r="F49" s="455"/>
      <c r="G49" s="789"/>
      <c r="H49" s="790"/>
      <c r="I49" s="791"/>
      <c r="J49" s="791"/>
      <c r="K49" s="791"/>
      <c r="L49" s="670"/>
      <c r="M49" s="788"/>
    </row>
    <row r="50" spans="2:13" ht="24.9" customHeight="1" x14ac:dyDescent="0.2">
      <c r="B50" s="517">
        <v>360</v>
      </c>
      <c r="C50" s="452" t="s">
        <v>2586</v>
      </c>
      <c r="D50" s="453"/>
      <c r="E50" s="454"/>
      <c r="F50" s="455"/>
      <c r="G50" s="789"/>
      <c r="H50" s="790"/>
      <c r="I50" s="791"/>
      <c r="J50" s="791"/>
      <c r="K50" s="791"/>
      <c r="L50" s="670"/>
      <c r="M50" s="788"/>
    </row>
    <row r="51" spans="2:13" ht="24.9" customHeight="1" x14ac:dyDescent="0.2">
      <c r="B51" s="517">
        <v>370</v>
      </c>
      <c r="C51" s="452" t="s">
        <v>2587</v>
      </c>
      <c r="D51" s="453"/>
      <c r="E51" s="454"/>
      <c r="F51" s="455"/>
      <c r="G51" s="789"/>
      <c r="H51" s="790"/>
      <c r="I51" s="791"/>
      <c r="J51" s="791"/>
      <c r="K51" s="791"/>
      <c r="L51" s="670"/>
      <c r="M51" s="788"/>
    </row>
    <row r="52" spans="2:13" ht="24.9" customHeight="1" x14ac:dyDescent="0.2">
      <c r="B52" s="517">
        <v>380</v>
      </c>
      <c r="C52" s="452" t="s">
        <v>2588</v>
      </c>
      <c r="D52" s="453"/>
      <c r="E52" s="454"/>
      <c r="F52" s="455"/>
      <c r="G52" s="789"/>
      <c r="H52" s="790"/>
      <c r="I52" s="791"/>
      <c r="J52" s="791"/>
      <c r="K52" s="791"/>
      <c r="L52" s="670"/>
      <c r="M52" s="788"/>
    </row>
    <row r="53" spans="2:13" ht="24.9" customHeight="1" thickBot="1" x14ac:dyDescent="0.25">
      <c r="B53" s="518">
        <v>390</v>
      </c>
      <c r="C53" s="456" t="s">
        <v>2589</v>
      </c>
      <c r="D53" s="457"/>
      <c r="E53" s="457"/>
      <c r="F53" s="458"/>
      <c r="G53" s="792"/>
      <c r="H53" s="793"/>
      <c r="I53" s="794"/>
      <c r="J53" s="794"/>
      <c r="K53" s="794"/>
      <c r="L53" s="675"/>
      <c r="M53" s="795"/>
    </row>
    <row r="54" spans="2:13" ht="16.2" x14ac:dyDescent="0.3">
      <c r="B54" s="119"/>
      <c r="C54" s="120"/>
      <c r="D54" s="120"/>
      <c r="E54" s="120"/>
      <c r="F54" s="120"/>
      <c r="G54" s="121"/>
      <c r="H54" s="121"/>
      <c r="I54" s="121"/>
      <c r="J54" s="121"/>
      <c r="K54" s="121"/>
      <c r="L54" s="120"/>
      <c r="M54" s="120"/>
    </row>
  </sheetData>
  <mergeCells count="9">
    <mergeCell ref="B2:M2"/>
    <mergeCell ref="C13:F13"/>
    <mergeCell ref="G6:K6"/>
    <mergeCell ref="L6:L8"/>
    <mergeCell ref="M6:M8"/>
    <mergeCell ref="G7:H7"/>
    <mergeCell ref="I7:J7"/>
    <mergeCell ref="K7:K8"/>
    <mergeCell ref="C12:F12"/>
  </mergeCells>
  <printOptions horizontalCentered="1" verticalCentered="1"/>
  <pageMargins left="0" right="0" top="0" bottom="0" header="0" footer="0"/>
  <pageSetup paperSize="9" scale="42" fitToWidth="0" fitToHeight="0" orientation="landscape" cellComments="asDisplayed" r:id="rId1"/>
  <headerFooter>
    <oddHeader>&amp;CFR
ANNEXE I</oddHeader>
    <oddFooter>&amp;CPage &amp;P</oddFooter>
  </headerFooter>
  <rowBreaks count="1" manualBreakCount="1">
    <brk id="36" max="12" man="1"/>
  </rowBreaks>
  <ignoredErrors>
    <ignoredError sqref="G9:K9 B10:B48 L9:M9 B49:B53"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BN32"/>
  <sheetViews>
    <sheetView showGridLines="0" zoomScale="20" zoomScaleNormal="20" zoomScaleSheetLayoutView="40" zoomScalePageLayoutView="20" workbookViewId="0">
      <selection activeCell="AS66" sqref="AS66"/>
    </sheetView>
  </sheetViews>
  <sheetFormatPr defaultColWidth="11.44140625" defaultRowHeight="13.8" x14ac:dyDescent="0.25"/>
  <cols>
    <col min="1" max="1" width="5" style="126" customWidth="1"/>
    <col min="2" max="2" width="13.6640625" style="126" customWidth="1"/>
    <col min="3" max="3" width="4.109375" style="127" customWidth="1"/>
    <col min="4" max="4" width="85.6640625" style="127" customWidth="1"/>
    <col min="5" max="5" width="15.109375" style="127" customWidth="1"/>
    <col min="6" max="7" width="17.6640625" style="143" customWidth="1"/>
    <col min="8" max="9" width="19.6640625" style="143" customWidth="1"/>
    <col min="10" max="10" width="17.6640625" style="143" customWidth="1"/>
    <col min="11" max="11" width="17.6640625" style="151" customWidth="1"/>
    <col min="12" max="12" width="16.6640625" style="151" customWidth="1"/>
    <col min="13" max="15" width="16.6640625" style="126" customWidth="1"/>
    <col min="16" max="17" width="14.44140625" style="126" bestFit="1" customWidth="1"/>
    <col min="18" max="27" width="14.109375" style="126" bestFit="1" customWidth="1"/>
    <col min="28" max="28" width="16" style="126" customWidth="1"/>
    <col min="29" max="29" width="21.88671875" style="126" customWidth="1"/>
    <col min="30" max="30" width="16.6640625" style="126" customWidth="1"/>
    <col min="31" max="31" width="20" style="126" customWidth="1"/>
    <col min="32" max="32" width="23.44140625" style="126" customWidth="1"/>
    <col min="33" max="33" width="14.33203125" style="126" customWidth="1"/>
    <col min="34" max="34" width="22" style="126" customWidth="1"/>
    <col min="35" max="38" width="16.6640625" style="126" customWidth="1"/>
    <col min="39" max="50" width="14.109375" style="126" bestFit="1" customWidth="1"/>
    <col min="51" max="51" width="16.6640625" style="126" customWidth="1"/>
    <col min="52" max="52" width="22.5546875" style="126" customWidth="1"/>
    <col min="53" max="53" width="18.109375" style="126" customWidth="1"/>
    <col min="54" max="54" width="23.33203125" style="126" customWidth="1"/>
    <col min="55" max="55" width="23.109375" style="126" customWidth="1"/>
    <col min="56" max="56" width="17.5546875" style="126" customWidth="1"/>
    <col min="57" max="57" width="17.6640625" style="126" customWidth="1"/>
    <col min="58" max="58" width="24.88671875" style="126" customWidth="1"/>
    <col min="59" max="59" width="27.6640625" style="126" customWidth="1"/>
    <col min="60" max="65" width="26.109375" style="126" customWidth="1"/>
    <col min="66" max="66" width="34.5546875" style="126" customWidth="1"/>
    <col min="67" max="16384" width="11.44140625" style="126"/>
  </cols>
  <sheetData>
    <row r="1" spans="1:66" ht="22.5" customHeight="1" thickBot="1" x14ac:dyDescent="0.45">
      <c r="D1" s="128"/>
      <c r="E1" s="129"/>
      <c r="F1" s="130"/>
      <c r="G1" s="130"/>
      <c r="H1" s="130"/>
      <c r="I1" s="130"/>
      <c r="J1" s="130"/>
      <c r="K1" s="131"/>
      <c r="L1" s="131"/>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3"/>
      <c r="AL1" s="132"/>
    </row>
    <row r="2" spans="1:66" s="433" customFormat="1" ht="110.25" customHeight="1" thickBot="1" x14ac:dyDescent="0.35">
      <c r="B2" s="2222" t="s">
        <v>2590</v>
      </c>
      <c r="C2" s="2223"/>
      <c r="D2" s="2223"/>
      <c r="E2" s="2223"/>
      <c r="F2" s="2223"/>
      <c r="G2" s="2223"/>
      <c r="H2" s="2223"/>
      <c r="I2" s="2223"/>
      <c r="J2" s="2223"/>
      <c r="K2" s="2223"/>
      <c r="L2" s="2223"/>
      <c r="M2" s="2223"/>
      <c r="N2" s="2223"/>
      <c r="O2" s="2223"/>
      <c r="P2" s="2223"/>
      <c r="Q2" s="2223"/>
      <c r="R2" s="2223"/>
      <c r="S2" s="2223"/>
      <c r="T2" s="2223"/>
      <c r="U2" s="2223"/>
      <c r="V2" s="2223"/>
      <c r="W2" s="2223"/>
      <c r="X2" s="2223"/>
      <c r="Y2" s="2223"/>
      <c r="Z2" s="2223"/>
      <c r="AA2" s="1628"/>
      <c r="AB2" s="1628" t="s">
        <v>2591</v>
      </c>
      <c r="AC2" s="1628"/>
      <c r="AD2" s="1628"/>
      <c r="AE2" s="1628"/>
      <c r="AF2" s="434"/>
      <c r="AG2" s="434"/>
      <c r="AH2" s="1628"/>
      <c r="AI2" s="432"/>
      <c r="AJ2" s="432"/>
      <c r="AK2" s="432"/>
      <c r="AL2" s="432"/>
      <c r="AM2" s="432"/>
      <c r="AN2" s="432"/>
      <c r="AO2" s="432"/>
      <c r="AP2" s="432"/>
      <c r="AQ2" s="432"/>
      <c r="AR2" s="432"/>
      <c r="AS2" s="432"/>
      <c r="AT2" s="432"/>
      <c r="AU2" s="432"/>
      <c r="AV2" s="432"/>
      <c r="AW2" s="432"/>
      <c r="AX2" s="432"/>
      <c r="AY2" s="432"/>
      <c r="AZ2" s="432"/>
      <c r="BA2" s="432"/>
      <c r="BB2" s="432"/>
      <c r="BC2" s="432"/>
      <c r="BD2" s="2224" t="s">
        <v>2592</v>
      </c>
      <c r="BE2" s="2224"/>
      <c r="BF2" s="2224"/>
      <c r="BG2" s="2224"/>
      <c r="BH2" s="2224"/>
      <c r="BI2" s="2224"/>
      <c r="BJ2" s="2224"/>
      <c r="BK2" s="2224"/>
      <c r="BL2" s="2224"/>
      <c r="BM2" s="2224"/>
      <c r="BN2" s="2225"/>
    </row>
    <row r="3" spans="1:66" ht="24.75" customHeight="1" thickBot="1" x14ac:dyDescent="0.25">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2"/>
      <c r="AK3" s="133"/>
      <c r="AL3" s="132"/>
      <c r="AM3" s="132"/>
      <c r="AN3" s="135"/>
      <c r="AO3" s="135"/>
      <c r="AP3" s="135"/>
      <c r="AQ3" s="135"/>
      <c r="AR3" s="135"/>
      <c r="AS3" s="135"/>
      <c r="AT3" s="135"/>
      <c r="AU3" s="135"/>
      <c r="AV3" s="135"/>
      <c r="AW3" s="135"/>
      <c r="AX3" s="135"/>
      <c r="AY3" s="135"/>
      <c r="AZ3" s="135"/>
      <c r="BA3" s="135"/>
      <c r="BB3" s="135"/>
      <c r="BC3" s="135"/>
      <c r="BD3" s="135"/>
      <c r="BE3" s="132"/>
      <c r="BF3" s="133"/>
      <c r="BG3" s="133"/>
      <c r="BH3" s="132"/>
      <c r="BI3" s="132"/>
      <c r="BJ3" s="132"/>
      <c r="BK3" s="132"/>
      <c r="BL3" s="132"/>
      <c r="BM3" s="132"/>
      <c r="BN3" s="132"/>
    </row>
    <row r="4" spans="1:66" s="137" customFormat="1" ht="123" customHeight="1" x14ac:dyDescent="0.3">
      <c r="A4" s="136"/>
      <c r="B4" s="2234"/>
      <c r="C4" s="2235"/>
      <c r="D4" s="2235"/>
      <c r="E4" s="2236"/>
      <c r="F4" s="2243" t="s">
        <v>2593</v>
      </c>
      <c r="G4" s="2244"/>
      <c r="H4" s="2243" t="s">
        <v>2594</v>
      </c>
      <c r="I4" s="2244"/>
      <c r="J4" s="2247" t="s">
        <v>2595</v>
      </c>
      <c r="K4" s="2247"/>
      <c r="L4" s="2249" t="s">
        <v>2596</v>
      </c>
      <c r="M4" s="2227"/>
      <c r="N4" s="2227"/>
      <c r="O4" s="2227"/>
      <c r="P4" s="2227"/>
      <c r="Q4" s="2227"/>
      <c r="R4" s="2227"/>
      <c r="S4" s="2227"/>
      <c r="T4" s="2227"/>
      <c r="U4" s="2227"/>
      <c r="V4" s="2227"/>
      <c r="W4" s="2227"/>
      <c r="X4" s="2227"/>
      <c r="Y4" s="2227"/>
      <c r="Z4" s="2227"/>
      <c r="AA4" s="2227"/>
      <c r="AB4" s="2227"/>
      <c r="AC4" s="2227"/>
      <c r="AD4" s="2227"/>
      <c r="AE4" s="2227"/>
      <c r="AF4" s="2227"/>
      <c r="AG4" s="2227"/>
      <c r="AH4" s="2227"/>
      <c r="AI4" s="2226" t="s">
        <v>2597</v>
      </c>
      <c r="AJ4" s="2227"/>
      <c r="AK4" s="2227"/>
      <c r="AL4" s="2227"/>
      <c r="AM4" s="2227"/>
      <c r="AN4" s="2227"/>
      <c r="AO4" s="2227"/>
      <c r="AP4" s="2227"/>
      <c r="AQ4" s="2227"/>
      <c r="AR4" s="2227"/>
      <c r="AS4" s="2227"/>
      <c r="AT4" s="2227"/>
      <c r="AU4" s="2227"/>
      <c r="AV4" s="2227"/>
      <c r="AW4" s="2227"/>
      <c r="AX4" s="2227"/>
      <c r="AY4" s="2227"/>
      <c r="AZ4" s="2227"/>
      <c r="BA4" s="2227"/>
      <c r="BB4" s="2227"/>
      <c r="BC4" s="2227"/>
      <c r="BD4" s="2227"/>
      <c r="BE4" s="2228"/>
      <c r="BF4" s="2243" t="s">
        <v>2598</v>
      </c>
      <c r="BG4" s="2250"/>
      <c r="BH4" s="2243" t="s">
        <v>2599</v>
      </c>
      <c r="BI4" s="2247"/>
      <c r="BJ4" s="2244"/>
      <c r="BK4" s="2253" t="s">
        <v>2600</v>
      </c>
      <c r="BL4" s="2253"/>
      <c r="BM4" s="2253"/>
      <c r="BN4" s="2255" t="s">
        <v>2601</v>
      </c>
    </row>
    <row r="5" spans="1:66" s="137" customFormat="1" ht="78.75" customHeight="1" x14ac:dyDescent="0.3">
      <c r="A5" s="136"/>
      <c r="B5" s="2237"/>
      <c r="C5" s="2238"/>
      <c r="D5" s="2238"/>
      <c r="E5" s="2239"/>
      <c r="F5" s="2245"/>
      <c r="G5" s="2246"/>
      <c r="H5" s="2245"/>
      <c r="I5" s="2246"/>
      <c r="J5" s="2248"/>
      <c r="K5" s="2248"/>
      <c r="L5" s="2258" t="s">
        <v>2602</v>
      </c>
      <c r="M5" s="2259"/>
      <c r="N5" s="2259"/>
      <c r="O5" s="2259"/>
      <c r="P5" s="2259"/>
      <c r="Q5" s="2259"/>
      <c r="R5" s="2259"/>
      <c r="S5" s="2259"/>
      <c r="T5" s="2259"/>
      <c r="U5" s="2259"/>
      <c r="V5" s="2259"/>
      <c r="W5" s="2259"/>
      <c r="X5" s="2259"/>
      <c r="Y5" s="2259"/>
      <c r="Z5" s="2259"/>
      <c r="AA5" s="2259"/>
      <c r="AB5" s="2229">
        <v>12.5</v>
      </c>
      <c r="AC5" s="2230"/>
      <c r="AD5" s="2272" t="s">
        <v>2603</v>
      </c>
      <c r="AE5" s="2232"/>
      <c r="AF5" s="2229" t="s">
        <v>2604</v>
      </c>
      <c r="AG5" s="2232" t="s">
        <v>2605</v>
      </c>
      <c r="AH5" s="2233"/>
      <c r="AI5" s="2258" t="s">
        <v>2606</v>
      </c>
      <c r="AJ5" s="2259"/>
      <c r="AK5" s="2259"/>
      <c r="AL5" s="2259"/>
      <c r="AM5" s="2259"/>
      <c r="AN5" s="2259"/>
      <c r="AO5" s="2259"/>
      <c r="AP5" s="2259"/>
      <c r="AQ5" s="2259"/>
      <c r="AR5" s="2259"/>
      <c r="AS5" s="2259"/>
      <c r="AT5" s="2259"/>
      <c r="AU5" s="2259"/>
      <c r="AV5" s="2259"/>
      <c r="AW5" s="2259"/>
      <c r="AX5" s="2259"/>
      <c r="AY5" s="2229">
        <v>12.5</v>
      </c>
      <c r="AZ5" s="2229"/>
      <c r="BA5" s="2230" t="s">
        <v>2607</v>
      </c>
      <c r="BB5" s="2231"/>
      <c r="BC5" s="2229" t="s">
        <v>2608</v>
      </c>
      <c r="BD5" s="2232" t="s">
        <v>2609</v>
      </c>
      <c r="BE5" s="2233"/>
      <c r="BF5" s="2251"/>
      <c r="BG5" s="2252"/>
      <c r="BH5" s="2245"/>
      <c r="BI5" s="2248"/>
      <c r="BJ5" s="2246"/>
      <c r="BK5" s="2254"/>
      <c r="BL5" s="2254"/>
      <c r="BM5" s="2254"/>
      <c r="BN5" s="2256"/>
    </row>
    <row r="6" spans="1:66" s="137" customFormat="1" ht="177.75" customHeight="1" x14ac:dyDescent="0.3">
      <c r="A6" s="136"/>
      <c r="B6" s="2237"/>
      <c r="C6" s="2238"/>
      <c r="D6" s="2238"/>
      <c r="E6" s="2239"/>
      <c r="F6" s="536" t="s">
        <v>2610</v>
      </c>
      <c r="G6" s="536" t="s">
        <v>2611</v>
      </c>
      <c r="H6" s="1529" t="s">
        <v>2612</v>
      </c>
      <c r="I6" s="1529" t="s">
        <v>2613</v>
      </c>
      <c r="J6" s="536" t="s">
        <v>2614</v>
      </c>
      <c r="K6" s="536" t="s">
        <v>2615</v>
      </c>
      <c r="L6" s="537" t="s">
        <v>2616</v>
      </c>
      <c r="M6" s="537" t="s">
        <v>2617</v>
      </c>
      <c r="N6" s="537" t="s">
        <v>2618</v>
      </c>
      <c r="O6" s="537" t="s">
        <v>2619</v>
      </c>
      <c r="P6" s="537">
        <v>1</v>
      </c>
      <c r="Q6" s="537">
        <v>1.5</v>
      </c>
      <c r="R6" s="537">
        <v>2</v>
      </c>
      <c r="S6" s="537">
        <v>2.25</v>
      </c>
      <c r="T6" s="537">
        <v>2.5</v>
      </c>
      <c r="U6" s="537">
        <v>3</v>
      </c>
      <c r="V6" s="537">
        <v>3.5</v>
      </c>
      <c r="W6" s="537">
        <v>4.25</v>
      </c>
      <c r="X6" s="537">
        <v>5</v>
      </c>
      <c r="Y6" s="537">
        <v>6.5</v>
      </c>
      <c r="Z6" s="537">
        <v>7.5</v>
      </c>
      <c r="AA6" s="537">
        <v>8.5</v>
      </c>
      <c r="AB6" s="536" t="s">
        <v>2620</v>
      </c>
      <c r="AC6" s="536" t="s">
        <v>2621</v>
      </c>
      <c r="AD6" s="437"/>
      <c r="AE6" s="536" t="s">
        <v>2622</v>
      </c>
      <c r="AF6" s="2229"/>
      <c r="AG6" s="437"/>
      <c r="AH6" s="536" t="s">
        <v>2623</v>
      </c>
      <c r="AI6" s="438" t="s">
        <v>2624</v>
      </c>
      <c r="AJ6" s="537" t="s">
        <v>2625</v>
      </c>
      <c r="AK6" s="537" t="s">
        <v>2626</v>
      </c>
      <c r="AL6" s="537" t="s">
        <v>2627</v>
      </c>
      <c r="AM6" s="537">
        <v>1</v>
      </c>
      <c r="AN6" s="537">
        <v>1.5</v>
      </c>
      <c r="AO6" s="537">
        <v>2</v>
      </c>
      <c r="AP6" s="537">
        <v>2.25</v>
      </c>
      <c r="AQ6" s="537">
        <v>2.5</v>
      </c>
      <c r="AR6" s="537">
        <v>3</v>
      </c>
      <c r="AS6" s="537">
        <v>3.5</v>
      </c>
      <c r="AT6" s="537">
        <v>4.25</v>
      </c>
      <c r="AU6" s="537">
        <v>5</v>
      </c>
      <c r="AV6" s="537">
        <v>6.5</v>
      </c>
      <c r="AW6" s="537">
        <v>7.5</v>
      </c>
      <c r="AX6" s="537">
        <v>8.5</v>
      </c>
      <c r="AY6" s="536" t="s">
        <v>2628</v>
      </c>
      <c r="AZ6" s="536" t="s">
        <v>2629</v>
      </c>
      <c r="BA6" s="437"/>
      <c r="BB6" s="536" t="s">
        <v>2630</v>
      </c>
      <c r="BC6" s="2229"/>
      <c r="BD6" s="437"/>
      <c r="BE6" s="439" t="s">
        <v>2631</v>
      </c>
      <c r="BF6" s="440" t="s">
        <v>2632</v>
      </c>
      <c r="BG6" s="536" t="s">
        <v>2633</v>
      </c>
      <c r="BH6" s="536" t="s">
        <v>2634</v>
      </c>
      <c r="BI6" s="536" t="s">
        <v>2635</v>
      </c>
      <c r="BJ6" s="536" t="s">
        <v>2636</v>
      </c>
      <c r="BK6" s="536" t="s">
        <v>2637</v>
      </c>
      <c r="BL6" s="536" t="s">
        <v>2638</v>
      </c>
      <c r="BM6" s="536" t="s">
        <v>2639</v>
      </c>
      <c r="BN6" s="2257"/>
    </row>
    <row r="7" spans="1:66" s="139" customFormat="1" ht="36.75" customHeight="1" x14ac:dyDescent="0.3">
      <c r="A7" s="138"/>
      <c r="B7" s="2240"/>
      <c r="C7" s="2241"/>
      <c r="D7" s="2241"/>
      <c r="E7" s="2242"/>
      <c r="F7" s="435" t="s">
        <v>2640</v>
      </c>
      <c r="G7" s="435" t="s">
        <v>2641</v>
      </c>
      <c r="H7" s="435" t="s">
        <v>2642</v>
      </c>
      <c r="I7" s="435" t="s">
        <v>2643</v>
      </c>
      <c r="J7" s="435" t="s">
        <v>2644</v>
      </c>
      <c r="K7" s="435" t="s">
        <v>2645</v>
      </c>
      <c r="L7" s="435" t="s">
        <v>2646</v>
      </c>
      <c r="M7" s="435" t="s">
        <v>2647</v>
      </c>
      <c r="N7" s="435" t="s">
        <v>2648</v>
      </c>
      <c r="O7" s="435" t="s">
        <v>2649</v>
      </c>
      <c r="P7" s="435" t="s">
        <v>2650</v>
      </c>
      <c r="Q7" s="435" t="s">
        <v>2651</v>
      </c>
      <c r="R7" s="435" t="s">
        <v>2652</v>
      </c>
      <c r="S7" s="435" t="s">
        <v>2653</v>
      </c>
      <c r="T7" s="435" t="s">
        <v>2654</v>
      </c>
      <c r="U7" s="435" t="s">
        <v>2655</v>
      </c>
      <c r="V7" s="435" t="s">
        <v>2656</v>
      </c>
      <c r="W7" s="435" t="s">
        <v>2657</v>
      </c>
      <c r="X7" s="435" t="s">
        <v>2658</v>
      </c>
      <c r="Y7" s="435" t="s">
        <v>2659</v>
      </c>
      <c r="Z7" s="435" t="s">
        <v>2660</v>
      </c>
      <c r="AA7" s="435" t="s">
        <v>2661</v>
      </c>
      <c r="AB7" s="435" t="s">
        <v>2662</v>
      </c>
      <c r="AC7" s="435" t="s">
        <v>2663</v>
      </c>
      <c r="AD7" s="435" t="s">
        <v>2664</v>
      </c>
      <c r="AE7" s="435" t="s">
        <v>2665</v>
      </c>
      <c r="AF7" s="435" t="s">
        <v>2666</v>
      </c>
      <c r="AG7" s="435" t="s">
        <v>2667</v>
      </c>
      <c r="AH7" s="435" t="s">
        <v>2668</v>
      </c>
      <c r="AI7" s="435" t="s">
        <v>2669</v>
      </c>
      <c r="AJ7" s="435" t="s">
        <v>2670</v>
      </c>
      <c r="AK7" s="435" t="s">
        <v>2671</v>
      </c>
      <c r="AL7" s="435" t="s">
        <v>2672</v>
      </c>
      <c r="AM7" s="435" t="s">
        <v>2673</v>
      </c>
      <c r="AN7" s="435" t="s">
        <v>2674</v>
      </c>
      <c r="AO7" s="435" t="s">
        <v>2675</v>
      </c>
      <c r="AP7" s="435" t="s">
        <v>2676</v>
      </c>
      <c r="AQ7" s="435" t="s">
        <v>2677</v>
      </c>
      <c r="AR7" s="435" t="s">
        <v>2678</v>
      </c>
      <c r="AS7" s="435" t="s">
        <v>2679</v>
      </c>
      <c r="AT7" s="435" t="s">
        <v>2680</v>
      </c>
      <c r="AU7" s="435" t="s">
        <v>2681</v>
      </c>
      <c r="AV7" s="435" t="s">
        <v>2682</v>
      </c>
      <c r="AW7" s="435" t="s">
        <v>2683</v>
      </c>
      <c r="AX7" s="435" t="s">
        <v>2684</v>
      </c>
      <c r="AY7" s="435" t="s">
        <v>2685</v>
      </c>
      <c r="AZ7" s="435" t="s">
        <v>2686</v>
      </c>
      <c r="BA7" s="435" t="s">
        <v>2687</v>
      </c>
      <c r="BB7" s="435" t="s">
        <v>2688</v>
      </c>
      <c r="BC7" s="435" t="s">
        <v>2689</v>
      </c>
      <c r="BD7" s="435" t="s">
        <v>2690</v>
      </c>
      <c r="BE7" s="435" t="s">
        <v>2691</v>
      </c>
      <c r="BF7" s="436" t="s">
        <v>2692</v>
      </c>
      <c r="BG7" s="436" t="s">
        <v>2693</v>
      </c>
      <c r="BH7" s="436" t="s">
        <v>2694</v>
      </c>
      <c r="BI7" s="436" t="s">
        <v>2695</v>
      </c>
      <c r="BJ7" s="436" t="s">
        <v>2696</v>
      </c>
      <c r="BK7" s="436" t="s">
        <v>2697</v>
      </c>
      <c r="BL7" s="436" t="s">
        <v>2698</v>
      </c>
      <c r="BM7" s="436" t="s">
        <v>2699</v>
      </c>
      <c r="BN7" s="441" t="s">
        <v>2700</v>
      </c>
    </row>
    <row r="8" spans="1:66" s="139" customFormat="1" ht="81" customHeight="1" x14ac:dyDescent="0.2">
      <c r="A8" s="140"/>
      <c r="B8" s="442" t="s">
        <v>2701</v>
      </c>
      <c r="C8" s="2263" t="s">
        <v>2702</v>
      </c>
      <c r="D8" s="2264"/>
      <c r="E8" s="2265"/>
      <c r="F8" s="716"/>
      <c r="G8" s="717"/>
      <c r="H8" s="717"/>
      <c r="I8" s="717"/>
      <c r="J8" s="717"/>
      <c r="K8" s="717"/>
      <c r="L8" s="717"/>
      <c r="M8" s="717"/>
      <c r="N8" s="717"/>
      <c r="O8" s="717"/>
      <c r="P8" s="717"/>
      <c r="Q8" s="717"/>
      <c r="R8" s="717"/>
      <c r="S8" s="717"/>
      <c r="T8" s="717"/>
      <c r="U8" s="717"/>
      <c r="V8" s="717"/>
      <c r="W8" s="717"/>
      <c r="X8" s="717"/>
      <c r="Y8" s="717"/>
      <c r="Z8" s="717"/>
      <c r="AA8" s="717"/>
      <c r="AB8" s="717"/>
      <c r="AC8" s="717"/>
      <c r="AD8" s="717"/>
      <c r="AE8" s="717"/>
      <c r="AF8" s="717"/>
      <c r="AG8" s="717"/>
      <c r="AH8" s="717"/>
      <c r="AI8" s="717"/>
      <c r="AJ8" s="718"/>
      <c r="AK8" s="719"/>
      <c r="AL8" s="720"/>
      <c r="AM8" s="717"/>
      <c r="AN8" s="717"/>
      <c r="AO8" s="718"/>
      <c r="AP8" s="718"/>
      <c r="AQ8" s="718"/>
      <c r="AR8" s="721"/>
      <c r="AS8" s="721"/>
      <c r="AT8" s="721"/>
      <c r="AU8" s="721"/>
      <c r="AV8" s="721"/>
      <c r="AW8" s="722"/>
      <c r="AX8" s="722"/>
      <c r="AY8" s="722"/>
      <c r="AZ8" s="722"/>
      <c r="BA8" s="722"/>
      <c r="BB8" s="722"/>
      <c r="BC8" s="722"/>
      <c r="BD8" s="721"/>
      <c r="BE8" s="723"/>
      <c r="BF8" s="724"/>
      <c r="BG8" s="724"/>
      <c r="BH8" s="723"/>
      <c r="BI8" s="723"/>
      <c r="BJ8" s="723"/>
      <c r="BK8" s="718"/>
      <c r="BL8" s="718"/>
      <c r="BM8" s="718"/>
      <c r="BN8" s="725" t="s">
        <v>2703</v>
      </c>
    </row>
    <row r="9" spans="1:66" s="139" customFormat="1" ht="54.9" customHeight="1" x14ac:dyDescent="0.2">
      <c r="A9" s="140"/>
      <c r="B9" s="442" t="s">
        <v>2704</v>
      </c>
      <c r="C9" s="464"/>
      <c r="D9" s="2266" t="s">
        <v>2705</v>
      </c>
      <c r="E9" s="2267"/>
      <c r="F9" s="726"/>
      <c r="G9" s="727"/>
      <c r="H9" s="727"/>
      <c r="I9" s="727"/>
      <c r="J9" s="727"/>
      <c r="K9" s="727"/>
      <c r="L9" s="728"/>
      <c r="M9" s="728"/>
      <c r="N9" s="729"/>
      <c r="O9" s="729"/>
      <c r="P9" s="729"/>
      <c r="Q9" s="729"/>
      <c r="R9" s="729"/>
      <c r="S9" s="729"/>
      <c r="T9" s="728"/>
      <c r="U9" s="729"/>
      <c r="V9" s="729"/>
      <c r="W9" s="728"/>
      <c r="X9" s="729"/>
      <c r="Y9" s="729"/>
      <c r="Z9" s="729"/>
      <c r="AA9" s="729"/>
      <c r="AB9" s="729"/>
      <c r="AC9" s="729"/>
      <c r="AD9" s="729"/>
      <c r="AE9" s="729"/>
      <c r="AF9" s="729"/>
      <c r="AG9" s="729"/>
      <c r="AH9" s="729"/>
      <c r="AI9" s="728"/>
      <c r="AJ9" s="728"/>
      <c r="AK9" s="729"/>
      <c r="AL9" s="729"/>
      <c r="AM9" s="729"/>
      <c r="AN9" s="729"/>
      <c r="AO9" s="729"/>
      <c r="AP9" s="729"/>
      <c r="AQ9" s="728"/>
      <c r="AR9" s="729"/>
      <c r="AS9" s="729"/>
      <c r="AT9" s="728"/>
      <c r="AU9" s="729"/>
      <c r="AV9" s="729"/>
      <c r="AW9" s="729"/>
      <c r="AX9" s="729"/>
      <c r="AY9" s="729"/>
      <c r="AZ9" s="729"/>
      <c r="BA9" s="729"/>
      <c r="BB9" s="729"/>
      <c r="BC9" s="729"/>
      <c r="BD9" s="729"/>
      <c r="BE9" s="729"/>
      <c r="BF9" s="739"/>
      <c r="BG9" s="739"/>
      <c r="BH9" s="731"/>
      <c r="BI9" s="731"/>
      <c r="BJ9" s="731"/>
      <c r="BK9" s="731"/>
      <c r="BL9" s="731"/>
      <c r="BM9" s="731"/>
      <c r="BN9" s="732"/>
    </row>
    <row r="10" spans="1:66" s="143" customFormat="1" ht="54.9" customHeight="1" x14ac:dyDescent="0.2">
      <c r="A10" s="141"/>
      <c r="B10" s="442" t="s">
        <v>2706</v>
      </c>
      <c r="C10" s="2268" t="s">
        <v>2707</v>
      </c>
      <c r="D10" s="2269"/>
      <c r="E10" s="2270"/>
      <c r="F10" s="733"/>
      <c r="G10" s="734"/>
      <c r="H10" s="734"/>
      <c r="I10" s="734"/>
      <c r="J10" s="734"/>
      <c r="K10" s="730"/>
      <c r="L10" s="730"/>
      <c r="M10" s="730"/>
      <c r="N10" s="730"/>
      <c r="O10" s="730"/>
      <c r="P10" s="730"/>
      <c r="Q10" s="730"/>
      <c r="R10" s="730"/>
      <c r="S10" s="730"/>
      <c r="T10" s="730"/>
      <c r="U10" s="730"/>
      <c r="V10" s="730"/>
      <c r="W10" s="730"/>
      <c r="X10" s="730"/>
      <c r="Y10" s="730"/>
      <c r="Z10" s="730"/>
      <c r="AA10" s="730"/>
      <c r="AB10" s="730"/>
      <c r="AC10" s="730"/>
      <c r="AD10" s="730"/>
      <c r="AE10" s="730"/>
      <c r="AF10" s="730"/>
      <c r="AG10" s="730"/>
      <c r="AH10" s="730"/>
      <c r="AI10" s="734"/>
      <c r="AJ10" s="734"/>
      <c r="AK10" s="735"/>
      <c r="AL10" s="736"/>
      <c r="AM10" s="734"/>
      <c r="AN10" s="730"/>
      <c r="AO10" s="730"/>
      <c r="AP10" s="730"/>
      <c r="AQ10" s="730"/>
      <c r="AR10" s="734"/>
      <c r="AS10" s="734"/>
      <c r="AT10" s="734"/>
      <c r="AU10" s="734"/>
      <c r="AV10" s="734"/>
      <c r="AW10" s="734"/>
      <c r="AX10" s="734"/>
      <c r="AY10" s="734"/>
      <c r="AZ10" s="734"/>
      <c r="BA10" s="734"/>
      <c r="BB10" s="734"/>
      <c r="BC10" s="734"/>
      <c r="BD10" s="734"/>
      <c r="BE10" s="734"/>
      <c r="BF10" s="734"/>
      <c r="BG10" s="734"/>
      <c r="BH10" s="734"/>
      <c r="BI10" s="734"/>
      <c r="BJ10" s="734"/>
      <c r="BK10" s="734"/>
      <c r="BL10" s="734"/>
      <c r="BM10" s="734"/>
      <c r="BN10" s="737"/>
    </row>
    <row r="11" spans="1:66" s="143" customFormat="1" ht="54.9" customHeight="1" x14ac:dyDescent="0.2">
      <c r="A11" s="141"/>
      <c r="B11" s="442" t="s">
        <v>2708</v>
      </c>
      <c r="C11" s="464"/>
      <c r="D11" s="538" t="s">
        <v>2709</v>
      </c>
      <c r="E11" s="465"/>
      <c r="F11" s="733"/>
      <c r="G11" s="730"/>
      <c r="H11" s="730"/>
      <c r="I11" s="730"/>
      <c r="J11" s="730"/>
      <c r="K11" s="730"/>
      <c r="L11" s="729"/>
      <c r="M11" s="729"/>
      <c r="N11" s="729"/>
      <c r="O11" s="729"/>
      <c r="P11" s="729"/>
      <c r="Q11" s="738"/>
      <c r="R11" s="738"/>
      <c r="S11" s="738"/>
      <c r="T11" s="729"/>
      <c r="U11" s="738"/>
      <c r="V11" s="727"/>
      <c r="W11" s="729"/>
      <c r="X11" s="738"/>
      <c r="Y11" s="729"/>
      <c r="Z11" s="738"/>
      <c r="AA11" s="738"/>
      <c r="AB11" s="729"/>
      <c r="AC11" s="729"/>
      <c r="AD11" s="729"/>
      <c r="AE11" s="729"/>
      <c r="AF11" s="729"/>
      <c r="AG11" s="729"/>
      <c r="AH11" s="729"/>
      <c r="AI11" s="729"/>
      <c r="AJ11" s="729"/>
      <c r="AK11" s="729"/>
      <c r="AL11" s="729"/>
      <c r="AM11" s="729"/>
      <c r="AN11" s="738"/>
      <c r="AO11" s="738"/>
      <c r="AP11" s="738"/>
      <c r="AQ11" s="729"/>
      <c r="AR11" s="738"/>
      <c r="AS11" s="727"/>
      <c r="AT11" s="729"/>
      <c r="AU11" s="738"/>
      <c r="AV11" s="729"/>
      <c r="AW11" s="738"/>
      <c r="AX11" s="738"/>
      <c r="AY11" s="729"/>
      <c r="AZ11" s="729"/>
      <c r="BA11" s="729"/>
      <c r="BB11" s="729"/>
      <c r="BC11" s="729"/>
      <c r="BD11" s="729"/>
      <c r="BE11" s="729"/>
      <c r="BF11" s="730"/>
      <c r="BG11" s="730"/>
      <c r="BH11" s="734"/>
      <c r="BI11" s="734"/>
      <c r="BJ11" s="734"/>
      <c r="BK11" s="734"/>
      <c r="BL11" s="734"/>
      <c r="BM11" s="734"/>
      <c r="BN11" s="737"/>
    </row>
    <row r="12" spans="1:66" s="143" customFormat="1" ht="54.9" customHeight="1" x14ac:dyDescent="0.2">
      <c r="A12" s="141"/>
      <c r="B12" s="442" t="s">
        <v>2710</v>
      </c>
      <c r="C12" s="466"/>
      <c r="D12" s="538" t="s">
        <v>2711</v>
      </c>
      <c r="E12" s="465"/>
      <c r="F12" s="733"/>
      <c r="G12" s="730"/>
      <c r="H12" s="730"/>
      <c r="I12" s="730"/>
      <c r="J12" s="730"/>
      <c r="K12" s="730"/>
      <c r="L12" s="728"/>
      <c r="M12" s="728"/>
      <c r="N12" s="729"/>
      <c r="O12" s="729"/>
      <c r="P12" s="729"/>
      <c r="Q12" s="729"/>
      <c r="R12" s="729"/>
      <c r="S12" s="729"/>
      <c r="T12" s="728"/>
      <c r="U12" s="729"/>
      <c r="V12" s="729"/>
      <c r="W12" s="728"/>
      <c r="X12" s="729"/>
      <c r="Y12" s="729"/>
      <c r="Z12" s="729"/>
      <c r="AA12" s="729"/>
      <c r="AB12" s="729"/>
      <c r="AC12" s="729"/>
      <c r="AD12" s="729"/>
      <c r="AE12" s="729"/>
      <c r="AF12" s="729"/>
      <c r="AG12" s="729"/>
      <c r="AH12" s="729"/>
      <c r="AI12" s="728"/>
      <c r="AJ12" s="728"/>
      <c r="AK12" s="729"/>
      <c r="AL12" s="729"/>
      <c r="AM12" s="729"/>
      <c r="AN12" s="729"/>
      <c r="AO12" s="729"/>
      <c r="AP12" s="729"/>
      <c r="AQ12" s="728"/>
      <c r="AR12" s="729"/>
      <c r="AS12" s="729"/>
      <c r="AT12" s="728"/>
      <c r="AU12" s="729"/>
      <c r="AV12" s="729"/>
      <c r="AW12" s="729"/>
      <c r="AX12" s="729"/>
      <c r="AY12" s="729"/>
      <c r="AZ12" s="729"/>
      <c r="BA12" s="729"/>
      <c r="BB12" s="729"/>
      <c r="BC12" s="729"/>
      <c r="BD12" s="729"/>
      <c r="BE12" s="729"/>
      <c r="BF12" s="739"/>
      <c r="BG12" s="739"/>
      <c r="BH12" s="734"/>
      <c r="BI12" s="734"/>
      <c r="BJ12" s="734"/>
      <c r="BK12" s="734"/>
      <c r="BL12" s="734"/>
      <c r="BM12" s="734"/>
      <c r="BN12" s="737"/>
    </row>
    <row r="13" spans="1:66" s="143" customFormat="1" ht="54.9" customHeight="1" x14ac:dyDescent="0.2">
      <c r="A13" s="141"/>
      <c r="B13" s="442" t="s">
        <v>2712</v>
      </c>
      <c r="C13" s="2268" t="s">
        <v>2713</v>
      </c>
      <c r="D13" s="2269"/>
      <c r="E13" s="540"/>
      <c r="F13" s="733"/>
      <c r="G13" s="734"/>
      <c r="H13" s="734"/>
      <c r="I13" s="734"/>
      <c r="J13" s="734"/>
      <c r="K13" s="730"/>
      <c r="L13" s="730"/>
      <c r="M13" s="730"/>
      <c r="N13" s="730"/>
      <c r="O13" s="730"/>
      <c r="P13" s="730"/>
      <c r="Q13" s="730"/>
      <c r="R13" s="730"/>
      <c r="S13" s="730"/>
      <c r="T13" s="730"/>
      <c r="U13" s="730"/>
      <c r="V13" s="730"/>
      <c r="W13" s="730"/>
      <c r="X13" s="730"/>
      <c r="Y13" s="730"/>
      <c r="Z13" s="730"/>
      <c r="AA13" s="730"/>
      <c r="AB13" s="730"/>
      <c r="AC13" s="730"/>
      <c r="AD13" s="730"/>
      <c r="AE13" s="730"/>
      <c r="AF13" s="730"/>
      <c r="AG13" s="730"/>
      <c r="AH13" s="730"/>
      <c r="AI13" s="734"/>
      <c r="AJ13" s="734"/>
      <c r="AK13" s="735"/>
      <c r="AL13" s="736"/>
      <c r="AM13" s="734"/>
      <c r="AN13" s="730"/>
      <c r="AO13" s="730"/>
      <c r="AP13" s="730"/>
      <c r="AQ13" s="730"/>
      <c r="AR13" s="734"/>
      <c r="AS13" s="734"/>
      <c r="AT13" s="734"/>
      <c r="AU13" s="734"/>
      <c r="AV13" s="734"/>
      <c r="AW13" s="734"/>
      <c r="AX13" s="734"/>
      <c r="AY13" s="734"/>
      <c r="AZ13" s="734"/>
      <c r="BA13" s="734"/>
      <c r="BB13" s="734"/>
      <c r="BC13" s="734"/>
      <c r="BD13" s="734"/>
      <c r="BE13" s="734"/>
      <c r="BF13" s="730"/>
      <c r="BG13" s="730"/>
      <c r="BH13" s="734"/>
      <c r="BI13" s="734"/>
      <c r="BJ13" s="734"/>
      <c r="BK13" s="734"/>
      <c r="BL13" s="734"/>
      <c r="BM13" s="734"/>
      <c r="BN13" s="737"/>
    </row>
    <row r="14" spans="1:66" s="143" customFormat="1" ht="54.9" customHeight="1" x14ac:dyDescent="0.2">
      <c r="A14" s="141"/>
      <c r="B14" s="443" t="s">
        <v>2714</v>
      </c>
      <c r="C14" s="464"/>
      <c r="D14" s="538" t="s">
        <v>2715</v>
      </c>
      <c r="E14" s="465"/>
      <c r="F14" s="733"/>
      <c r="G14" s="730"/>
      <c r="H14" s="730"/>
      <c r="I14" s="730"/>
      <c r="J14" s="730"/>
      <c r="K14" s="730"/>
      <c r="L14" s="729"/>
      <c r="M14" s="729"/>
      <c r="N14" s="729"/>
      <c r="O14" s="729"/>
      <c r="P14" s="729"/>
      <c r="Q14" s="738"/>
      <c r="R14" s="738"/>
      <c r="S14" s="738"/>
      <c r="T14" s="729"/>
      <c r="U14" s="738"/>
      <c r="V14" s="727"/>
      <c r="W14" s="729"/>
      <c r="X14" s="738"/>
      <c r="Y14" s="729"/>
      <c r="Z14" s="738"/>
      <c r="AA14" s="738"/>
      <c r="AB14" s="729"/>
      <c r="AC14" s="729"/>
      <c r="AD14" s="729"/>
      <c r="AE14" s="729"/>
      <c r="AF14" s="729"/>
      <c r="AG14" s="729"/>
      <c r="AH14" s="729"/>
      <c r="AI14" s="729"/>
      <c r="AJ14" s="729"/>
      <c r="AK14" s="729"/>
      <c r="AL14" s="729"/>
      <c r="AM14" s="729"/>
      <c r="AN14" s="738"/>
      <c r="AO14" s="738"/>
      <c r="AP14" s="738"/>
      <c r="AQ14" s="729"/>
      <c r="AR14" s="738"/>
      <c r="AS14" s="727"/>
      <c r="AT14" s="729"/>
      <c r="AU14" s="738"/>
      <c r="AV14" s="729"/>
      <c r="AW14" s="738"/>
      <c r="AX14" s="738"/>
      <c r="AY14" s="729"/>
      <c r="AZ14" s="729"/>
      <c r="BA14" s="729"/>
      <c r="BB14" s="729"/>
      <c r="BC14" s="729"/>
      <c r="BD14" s="729"/>
      <c r="BE14" s="729"/>
      <c r="BF14" s="730"/>
      <c r="BG14" s="730"/>
      <c r="BH14" s="734"/>
      <c r="BI14" s="734"/>
      <c r="BJ14" s="734"/>
      <c r="BK14" s="734"/>
      <c r="BL14" s="734"/>
      <c r="BM14" s="734"/>
      <c r="BN14" s="737"/>
    </row>
    <row r="15" spans="1:66" s="143" customFormat="1" ht="54.9" customHeight="1" x14ac:dyDescent="0.2">
      <c r="A15" s="141"/>
      <c r="B15" s="443" t="s">
        <v>2716</v>
      </c>
      <c r="C15" s="466"/>
      <c r="D15" s="538" t="s">
        <v>2717</v>
      </c>
      <c r="E15" s="465"/>
      <c r="F15" s="733"/>
      <c r="G15" s="730"/>
      <c r="H15" s="730"/>
      <c r="I15" s="730"/>
      <c r="J15" s="730"/>
      <c r="K15" s="730"/>
      <c r="L15" s="728"/>
      <c r="M15" s="728"/>
      <c r="N15" s="729"/>
      <c r="O15" s="729"/>
      <c r="P15" s="729"/>
      <c r="Q15" s="729"/>
      <c r="R15" s="729"/>
      <c r="S15" s="729"/>
      <c r="T15" s="728"/>
      <c r="U15" s="729"/>
      <c r="V15" s="729"/>
      <c r="W15" s="728"/>
      <c r="X15" s="729"/>
      <c r="Y15" s="729"/>
      <c r="Z15" s="729"/>
      <c r="AA15" s="729"/>
      <c r="AB15" s="729"/>
      <c r="AC15" s="729"/>
      <c r="AD15" s="729"/>
      <c r="AE15" s="729"/>
      <c r="AF15" s="729"/>
      <c r="AG15" s="729"/>
      <c r="AH15" s="729"/>
      <c r="AI15" s="728"/>
      <c r="AJ15" s="728"/>
      <c r="AK15" s="729"/>
      <c r="AL15" s="729"/>
      <c r="AM15" s="729"/>
      <c r="AN15" s="729"/>
      <c r="AO15" s="729"/>
      <c r="AP15" s="729"/>
      <c r="AQ15" s="728"/>
      <c r="AR15" s="729"/>
      <c r="AS15" s="729"/>
      <c r="AT15" s="728"/>
      <c r="AU15" s="729"/>
      <c r="AV15" s="729"/>
      <c r="AW15" s="729"/>
      <c r="AX15" s="729"/>
      <c r="AY15" s="740"/>
      <c r="AZ15" s="740"/>
      <c r="BA15" s="740"/>
      <c r="BB15" s="740"/>
      <c r="BC15" s="740"/>
      <c r="BD15" s="740"/>
      <c r="BE15" s="740"/>
      <c r="BF15" s="728"/>
      <c r="BG15" s="728"/>
      <c r="BH15" s="734"/>
      <c r="BI15" s="734"/>
      <c r="BJ15" s="734"/>
      <c r="BK15" s="734"/>
      <c r="BL15" s="734"/>
      <c r="BM15" s="734"/>
      <c r="BN15" s="737"/>
    </row>
    <row r="16" spans="1:66" s="143" customFormat="1" ht="54.9" customHeight="1" x14ac:dyDescent="0.2">
      <c r="A16" s="141"/>
      <c r="B16" s="443" t="s">
        <v>2718</v>
      </c>
      <c r="C16" s="2268" t="s">
        <v>2719</v>
      </c>
      <c r="D16" s="2269"/>
      <c r="E16" s="540"/>
      <c r="F16" s="741"/>
      <c r="G16" s="734"/>
      <c r="H16" s="734"/>
      <c r="I16" s="734"/>
      <c r="J16" s="734"/>
      <c r="K16" s="734"/>
      <c r="L16" s="730"/>
      <c r="M16" s="730"/>
      <c r="N16" s="730"/>
      <c r="O16" s="730"/>
      <c r="P16" s="730"/>
      <c r="Q16" s="730"/>
      <c r="R16" s="730"/>
      <c r="S16" s="730"/>
      <c r="T16" s="730"/>
      <c r="U16" s="730"/>
      <c r="V16" s="730"/>
      <c r="W16" s="730"/>
      <c r="X16" s="730"/>
      <c r="Y16" s="730"/>
      <c r="Z16" s="730"/>
      <c r="AA16" s="730"/>
      <c r="AB16" s="730"/>
      <c r="AC16" s="730"/>
      <c r="AD16" s="730"/>
      <c r="AE16" s="730"/>
      <c r="AF16" s="730"/>
      <c r="AG16" s="734"/>
      <c r="AH16" s="734"/>
      <c r="AI16" s="734"/>
      <c r="AJ16" s="734"/>
      <c r="AK16" s="742"/>
      <c r="AL16" s="730"/>
      <c r="AM16" s="734"/>
      <c r="AN16" s="730"/>
      <c r="AO16" s="730"/>
      <c r="AP16" s="730"/>
      <c r="AQ16" s="730"/>
      <c r="AR16" s="734"/>
      <c r="AS16" s="734"/>
      <c r="AT16" s="734"/>
      <c r="AU16" s="734"/>
      <c r="AV16" s="734"/>
      <c r="AW16" s="734"/>
      <c r="AX16" s="734"/>
      <c r="AY16" s="734"/>
      <c r="AZ16" s="734"/>
      <c r="BA16" s="734"/>
      <c r="BB16" s="734"/>
      <c r="BC16" s="734"/>
      <c r="BD16" s="734"/>
      <c r="BE16" s="734"/>
      <c r="BF16" s="728"/>
      <c r="BG16" s="728"/>
      <c r="BH16" s="734"/>
      <c r="BI16" s="734"/>
      <c r="BJ16" s="734"/>
      <c r="BK16" s="734"/>
      <c r="BL16" s="734"/>
      <c r="BM16" s="734"/>
      <c r="BN16" s="737"/>
    </row>
    <row r="17" spans="1:66" s="143" customFormat="1" ht="54.9" customHeight="1" x14ac:dyDescent="0.2">
      <c r="A17" s="141"/>
      <c r="B17" s="443" t="s">
        <v>2720</v>
      </c>
      <c r="C17" s="464"/>
      <c r="D17" s="538" t="s">
        <v>2721</v>
      </c>
      <c r="E17" s="465"/>
      <c r="F17" s="741"/>
      <c r="G17" s="734"/>
      <c r="H17" s="734"/>
      <c r="I17" s="734"/>
      <c r="J17" s="734"/>
      <c r="K17" s="730"/>
      <c r="L17" s="729"/>
      <c r="M17" s="729"/>
      <c r="N17" s="729"/>
      <c r="O17" s="729"/>
      <c r="P17" s="729"/>
      <c r="Q17" s="738"/>
      <c r="R17" s="738"/>
      <c r="S17" s="738"/>
      <c r="T17" s="729"/>
      <c r="U17" s="738"/>
      <c r="V17" s="727"/>
      <c r="W17" s="729"/>
      <c r="X17" s="738"/>
      <c r="Y17" s="729"/>
      <c r="Z17" s="738"/>
      <c r="AA17" s="738"/>
      <c r="AB17" s="729"/>
      <c r="AC17" s="729"/>
      <c r="AD17" s="729"/>
      <c r="AE17" s="729"/>
      <c r="AF17" s="729"/>
      <c r="AG17" s="740"/>
      <c r="AH17" s="740"/>
      <c r="AI17" s="729"/>
      <c r="AJ17" s="729"/>
      <c r="AK17" s="729"/>
      <c r="AL17" s="729"/>
      <c r="AM17" s="729"/>
      <c r="AN17" s="738"/>
      <c r="AO17" s="738"/>
      <c r="AP17" s="738"/>
      <c r="AQ17" s="729"/>
      <c r="AR17" s="738"/>
      <c r="AS17" s="727"/>
      <c r="AT17" s="729"/>
      <c r="AU17" s="738"/>
      <c r="AV17" s="729"/>
      <c r="AW17" s="738"/>
      <c r="AX17" s="738"/>
      <c r="AY17" s="740"/>
      <c r="AZ17" s="740"/>
      <c r="BA17" s="740"/>
      <c r="BB17" s="740"/>
      <c r="BC17" s="740"/>
      <c r="BD17" s="740"/>
      <c r="BE17" s="740"/>
      <c r="BF17" s="728"/>
      <c r="BG17" s="728"/>
      <c r="BH17" s="734"/>
      <c r="BI17" s="734"/>
      <c r="BJ17" s="734"/>
      <c r="BK17" s="734"/>
      <c r="BL17" s="734"/>
      <c r="BM17" s="734"/>
      <c r="BN17" s="737"/>
    </row>
    <row r="18" spans="1:66" s="143" customFormat="1" ht="54.9" customHeight="1" x14ac:dyDescent="0.2">
      <c r="A18" s="141"/>
      <c r="B18" s="443" t="s">
        <v>2722</v>
      </c>
      <c r="C18" s="467"/>
      <c r="D18" s="468" t="s">
        <v>2723</v>
      </c>
      <c r="E18" s="469"/>
      <c r="F18" s="743"/>
      <c r="G18" s="744"/>
      <c r="H18" s="744"/>
      <c r="I18" s="744"/>
      <c r="J18" s="744"/>
      <c r="K18" s="745"/>
      <c r="L18" s="746"/>
      <c r="M18" s="746"/>
      <c r="N18" s="747"/>
      <c r="O18" s="747"/>
      <c r="P18" s="747"/>
      <c r="Q18" s="747"/>
      <c r="R18" s="747"/>
      <c r="S18" s="747"/>
      <c r="T18" s="746"/>
      <c r="U18" s="747"/>
      <c r="V18" s="747"/>
      <c r="W18" s="746"/>
      <c r="X18" s="747"/>
      <c r="Y18" s="747"/>
      <c r="Z18" s="747"/>
      <c r="AA18" s="747"/>
      <c r="AB18" s="747"/>
      <c r="AC18" s="747"/>
      <c r="AD18" s="747"/>
      <c r="AE18" s="747"/>
      <c r="AF18" s="747"/>
      <c r="AG18" s="747"/>
      <c r="AH18" s="747"/>
      <c r="AI18" s="746"/>
      <c r="AJ18" s="746"/>
      <c r="AK18" s="747"/>
      <c r="AL18" s="747"/>
      <c r="AM18" s="747"/>
      <c r="AN18" s="747"/>
      <c r="AO18" s="747"/>
      <c r="AP18" s="747"/>
      <c r="AQ18" s="746"/>
      <c r="AR18" s="747"/>
      <c r="AS18" s="747"/>
      <c r="AT18" s="746"/>
      <c r="AU18" s="747"/>
      <c r="AV18" s="747"/>
      <c r="AW18" s="747"/>
      <c r="AX18" s="747"/>
      <c r="AY18" s="748"/>
      <c r="AZ18" s="748"/>
      <c r="BA18" s="748"/>
      <c r="BB18" s="748"/>
      <c r="BC18" s="748"/>
      <c r="BD18" s="748"/>
      <c r="BE18" s="748"/>
      <c r="BF18" s="746"/>
      <c r="BG18" s="746"/>
      <c r="BH18" s="744"/>
      <c r="BI18" s="744"/>
      <c r="BJ18" s="744"/>
      <c r="BK18" s="744"/>
      <c r="BL18" s="744"/>
      <c r="BM18" s="744"/>
      <c r="BN18" s="749"/>
    </row>
    <row r="19" spans="1:66" s="143" customFormat="1" ht="80.099999999999994" customHeight="1" x14ac:dyDescent="0.2">
      <c r="A19" s="141"/>
      <c r="B19" s="443"/>
      <c r="C19" s="2268" t="s">
        <v>2724</v>
      </c>
      <c r="D19" s="2269"/>
      <c r="E19" s="2269"/>
      <c r="F19" s="2269"/>
      <c r="G19" s="2269"/>
      <c r="H19" s="2269"/>
      <c r="I19" s="2269"/>
      <c r="J19" s="2269"/>
      <c r="K19" s="2269"/>
      <c r="L19" s="2269"/>
      <c r="M19" s="2269"/>
      <c r="N19" s="2269"/>
      <c r="O19" s="2269"/>
      <c r="P19" s="2269"/>
      <c r="Q19" s="2269"/>
      <c r="R19" s="2269"/>
      <c r="S19" s="2269"/>
      <c r="T19" s="2269"/>
      <c r="U19" s="2269"/>
      <c r="V19" s="2269"/>
      <c r="W19" s="2269"/>
      <c r="X19" s="2269"/>
      <c r="Y19" s="2269"/>
      <c r="Z19" s="2269"/>
      <c r="AA19" s="2269"/>
      <c r="AB19" s="2269"/>
      <c r="AC19" s="2269"/>
      <c r="AD19" s="2269"/>
      <c r="AE19" s="2269"/>
      <c r="AF19" s="2269"/>
      <c r="AG19" s="2269"/>
      <c r="AH19" s="2269"/>
      <c r="AI19" s="2269"/>
      <c r="AJ19" s="2269"/>
      <c r="AK19" s="2269"/>
      <c r="AL19" s="2269"/>
      <c r="AM19" s="2269"/>
      <c r="AN19" s="2269"/>
      <c r="AO19" s="2269"/>
      <c r="AP19" s="2269"/>
      <c r="AQ19" s="2269"/>
      <c r="AR19" s="2269"/>
      <c r="AS19" s="2269"/>
      <c r="AT19" s="2269"/>
      <c r="AU19" s="2269"/>
      <c r="AV19" s="2269"/>
      <c r="AW19" s="2269"/>
      <c r="AX19" s="2269"/>
      <c r="AY19" s="2269"/>
      <c r="AZ19" s="2269"/>
      <c r="BA19" s="2269"/>
      <c r="BB19" s="2269"/>
      <c r="BC19" s="2269"/>
      <c r="BD19" s="2269"/>
      <c r="BE19" s="2269"/>
      <c r="BF19" s="2269"/>
      <c r="BG19" s="2269"/>
      <c r="BH19" s="2269"/>
      <c r="BI19" s="2269"/>
      <c r="BJ19" s="2269"/>
      <c r="BK19" s="2269"/>
      <c r="BL19" s="2269"/>
      <c r="BM19" s="2269"/>
      <c r="BN19" s="2271"/>
    </row>
    <row r="20" spans="1:66" s="143" customFormat="1" ht="54.9" customHeight="1" x14ac:dyDescent="0.2">
      <c r="A20" s="141"/>
      <c r="B20" s="443" t="s">
        <v>2725</v>
      </c>
      <c r="C20" s="539"/>
      <c r="D20" s="470" t="s">
        <v>2726</v>
      </c>
      <c r="E20" s="471"/>
      <c r="F20" s="750"/>
      <c r="G20" s="751"/>
      <c r="H20" s="751"/>
      <c r="I20" s="751"/>
      <c r="J20" s="751"/>
      <c r="K20" s="751"/>
      <c r="L20" s="751"/>
      <c r="M20" s="751"/>
      <c r="N20" s="751"/>
      <c r="O20" s="751"/>
      <c r="P20" s="751"/>
      <c r="Q20" s="751"/>
      <c r="R20" s="751"/>
      <c r="S20" s="751"/>
      <c r="T20" s="751"/>
      <c r="U20" s="751"/>
      <c r="V20" s="751"/>
      <c r="W20" s="751"/>
      <c r="X20" s="751"/>
      <c r="Y20" s="751"/>
      <c r="Z20" s="751"/>
      <c r="AA20" s="751"/>
      <c r="AB20" s="751"/>
      <c r="AC20" s="751"/>
      <c r="AD20" s="751"/>
      <c r="AE20" s="751"/>
      <c r="AF20" s="751"/>
      <c r="AG20" s="751"/>
      <c r="AH20" s="751"/>
      <c r="AI20" s="751"/>
      <c r="AJ20" s="751"/>
      <c r="AK20" s="752"/>
      <c r="AL20" s="751"/>
      <c r="AM20" s="751"/>
      <c r="AN20" s="751"/>
      <c r="AO20" s="751"/>
      <c r="AP20" s="751"/>
      <c r="AQ20" s="751"/>
      <c r="AR20" s="751"/>
      <c r="AS20" s="751"/>
      <c r="AT20" s="751"/>
      <c r="AU20" s="751"/>
      <c r="AV20" s="751"/>
      <c r="AW20" s="751"/>
      <c r="AX20" s="751"/>
      <c r="AY20" s="751"/>
      <c r="AZ20" s="751"/>
      <c r="BA20" s="751"/>
      <c r="BB20" s="751"/>
      <c r="BC20" s="751"/>
      <c r="BD20" s="751"/>
      <c r="BE20" s="751"/>
      <c r="BF20" s="751"/>
      <c r="BG20" s="751"/>
      <c r="BH20" s="751"/>
      <c r="BI20" s="751"/>
      <c r="BJ20" s="724"/>
      <c r="BK20" s="751"/>
      <c r="BL20" s="751"/>
      <c r="BM20" s="724"/>
      <c r="BN20" s="753"/>
    </row>
    <row r="21" spans="1:66" s="143" customFormat="1" ht="54.9" customHeight="1" x14ac:dyDescent="0.2">
      <c r="A21" s="141"/>
      <c r="B21" s="443" t="s">
        <v>2727</v>
      </c>
      <c r="C21" s="539"/>
      <c r="D21" s="470" t="s">
        <v>2728</v>
      </c>
      <c r="E21" s="471"/>
      <c r="F21" s="754"/>
      <c r="G21" s="728"/>
      <c r="H21" s="728"/>
      <c r="I21" s="728"/>
      <c r="J21" s="728"/>
      <c r="K21" s="728"/>
      <c r="L21" s="728"/>
      <c r="M21" s="728"/>
      <c r="N21" s="728"/>
      <c r="O21" s="728"/>
      <c r="P21" s="728"/>
      <c r="Q21" s="728"/>
      <c r="R21" s="728"/>
      <c r="S21" s="728"/>
      <c r="T21" s="728"/>
      <c r="U21" s="728"/>
      <c r="V21" s="728"/>
      <c r="W21" s="728"/>
      <c r="X21" s="728"/>
      <c r="Y21" s="728"/>
      <c r="Z21" s="728"/>
      <c r="AA21" s="728"/>
      <c r="AB21" s="728"/>
      <c r="AC21" s="728"/>
      <c r="AD21" s="728"/>
      <c r="AE21" s="728"/>
      <c r="AF21" s="728"/>
      <c r="AG21" s="728"/>
      <c r="AH21" s="728"/>
      <c r="AI21" s="728"/>
      <c r="AJ21" s="728"/>
      <c r="AK21" s="755"/>
      <c r="AL21" s="728"/>
      <c r="AM21" s="728"/>
      <c r="AN21" s="728"/>
      <c r="AO21" s="728"/>
      <c r="AP21" s="728"/>
      <c r="AQ21" s="728"/>
      <c r="AR21" s="728"/>
      <c r="AS21" s="728"/>
      <c r="AT21" s="728"/>
      <c r="AU21" s="728"/>
      <c r="AV21" s="728"/>
      <c r="AW21" s="728"/>
      <c r="AX21" s="728"/>
      <c r="AY21" s="728"/>
      <c r="AZ21" s="728"/>
      <c r="BA21" s="728"/>
      <c r="BB21" s="728"/>
      <c r="BC21" s="728"/>
      <c r="BD21" s="728"/>
      <c r="BE21" s="728"/>
      <c r="BF21" s="728"/>
      <c r="BG21" s="728"/>
      <c r="BH21" s="728"/>
      <c r="BI21" s="728"/>
      <c r="BJ21" s="730"/>
      <c r="BK21" s="728"/>
      <c r="BL21" s="728"/>
      <c r="BM21" s="730"/>
      <c r="BN21" s="737"/>
    </row>
    <row r="22" spans="1:66" s="143" customFormat="1" ht="54.9" customHeight="1" x14ac:dyDescent="0.2">
      <c r="A22" s="141"/>
      <c r="B22" s="443" t="s">
        <v>2729</v>
      </c>
      <c r="C22" s="539"/>
      <c r="D22" s="470" t="s">
        <v>2730</v>
      </c>
      <c r="E22" s="471"/>
      <c r="F22" s="754"/>
      <c r="G22" s="728"/>
      <c r="H22" s="728"/>
      <c r="I22" s="728"/>
      <c r="J22" s="728"/>
      <c r="K22" s="728"/>
      <c r="L22" s="728"/>
      <c r="M22" s="728"/>
      <c r="N22" s="728"/>
      <c r="O22" s="728"/>
      <c r="P22" s="728"/>
      <c r="Q22" s="728"/>
      <c r="R22" s="728"/>
      <c r="S22" s="728"/>
      <c r="T22" s="728"/>
      <c r="U22" s="728"/>
      <c r="V22" s="728"/>
      <c r="W22" s="728"/>
      <c r="X22" s="728"/>
      <c r="Y22" s="728"/>
      <c r="Z22" s="728"/>
      <c r="AA22" s="728"/>
      <c r="AB22" s="728"/>
      <c r="AC22" s="728"/>
      <c r="AD22" s="728"/>
      <c r="AE22" s="728"/>
      <c r="AF22" s="728"/>
      <c r="AG22" s="728"/>
      <c r="AH22" s="728"/>
      <c r="AI22" s="728"/>
      <c r="AJ22" s="728"/>
      <c r="AK22" s="755"/>
      <c r="AL22" s="728"/>
      <c r="AM22" s="728"/>
      <c r="AN22" s="728"/>
      <c r="AO22" s="728"/>
      <c r="AP22" s="728"/>
      <c r="AQ22" s="728"/>
      <c r="AR22" s="728"/>
      <c r="AS22" s="728"/>
      <c r="AT22" s="728"/>
      <c r="AU22" s="728"/>
      <c r="AV22" s="728"/>
      <c r="AW22" s="728"/>
      <c r="AX22" s="728"/>
      <c r="AY22" s="728"/>
      <c r="AZ22" s="728"/>
      <c r="BA22" s="728"/>
      <c r="BB22" s="728"/>
      <c r="BC22" s="728"/>
      <c r="BD22" s="728"/>
      <c r="BE22" s="728"/>
      <c r="BF22" s="756"/>
      <c r="BG22" s="756"/>
      <c r="BH22" s="728"/>
      <c r="BI22" s="728"/>
      <c r="BJ22" s="730"/>
      <c r="BK22" s="728"/>
      <c r="BL22" s="728"/>
      <c r="BM22" s="730"/>
      <c r="BN22" s="737"/>
    </row>
    <row r="23" spans="1:66" s="143" customFormat="1" ht="54.9" customHeight="1" x14ac:dyDescent="0.2">
      <c r="A23" s="141"/>
      <c r="B23" s="443" t="s">
        <v>2731</v>
      </c>
      <c r="C23" s="539"/>
      <c r="D23" s="470" t="s">
        <v>2732</v>
      </c>
      <c r="E23" s="471"/>
      <c r="F23" s="754"/>
      <c r="G23" s="728"/>
      <c r="H23" s="728"/>
      <c r="I23" s="728"/>
      <c r="J23" s="728"/>
      <c r="K23" s="728"/>
      <c r="L23" s="728"/>
      <c r="M23" s="728"/>
      <c r="N23" s="728"/>
      <c r="O23" s="728"/>
      <c r="P23" s="728"/>
      <c r="Q23" s="728"/>
      <c r="R23" s="728"/>
      <c r="S23" s="728"/>
      <c r="T23" s="728"/>
      <c r="U23" s="728"/>
      <c r="V23" s="728"/>
      <c r="W23" s="728"/>
      <c r="X23" s="728"/>
      <c r="Y23" s="728"/>
      <c r="Z23" s="728"/>
      <c r="AA23" s="728"/>
      <c r="AB23" s="728"/>
      <c r="AC23" s="728"/>
      <c r="AD23" s="728"/>
      <c r="AE23" s="728"/>
      <c r="AF23" s="728"/>
      <c r="AG23" s="728"/>
      <c r="AH23" s="728"/>
      <c r="AI23" s="728"/>
      <c r="AJ23" s="728"/>
      <c r="AK23" s="755"/>
      <c r="AL23" s="728"/>
      <c r="AM23" s="728"/>
      <c r="AN23" s="728"/>
      <c r="AO23" s="728"/>
      <c r="AP23" s="728"/>
      <c r="AQ23" s="728"/>
      <c r="AR23" s="728"/>
      <c r="AS23" s="728"/>
      <c r="AT23" s="728"/>
      <c r="AU23" s="728"/>
      <c r="AV23" s="728"/>
      <c r="AW23" s="728"/>
      <c r="AX23" s="728"/>
      <c r="AY23" s="728"/>
      <c r="AZ23" s="728"/>
      <c r="BA23" s="728"/>
      <c r="BB23" s="728"/>
      <c r="BC23" s="728"/>
      <c r="BD23" s="728"/>
      <c r="BE23" s="728"/>
      <c r="BF23" s="756"/>
      <c r="BG23" s="756"/>
      <c r="BH23" s="728"/>
      <c r="BI23" s="728"/>
      <c r="BJ23" s="730"/>
      <c r="BK23" s="728"/>
      <c r="BL23" s="728"/>
      <c r="BM23" s="730"/>
      <c r="BN23" s="737"/>
    </row>
    <row r="24" spans="1:66" s="143" customFormat="1" ht="54.9" customHeight="1" x14ac:dyDescent="0.2">
      <c r="A24" s="141"/>
      <c r="B24" s="443" t="s">
        <v>2733</v>
      </c>
      <c r="C24" s="539"/>
      <c r="D24" s="470" t="s">
        <v>2734</v>
      </c>
      <c r="E24" s="471"/>
      <c r="F24" s="754"/>
      <c r="G24" s="728"/>
      <c r="H24" s="728"/>
      <c r="I24" s="728"/>
      <c r="J24" s="728"/>
      <c r="K24" s="728"/>
      <c r="L24" s="728"/>
      <c r="M24" s="728"/>
      <c r="N24" s="728"/>
      <c r="O24" s="728"/>
      <c r="P24" s="728"/>
      <c r="Q24" s="728"/>
      <c r="R24" s="728"/>
      <c r="S24" s="728"/>
      <c r="T24" s="728"/>
      <c r="U24" s="728"/>
      <c r="V24" s="728"/>
      <c r="W24" s="728"/>
      <c r="X24" s="728"/>
      <c r="Y24" s="728"/>
      <c r="Z24" s="728"/>
      <c r="AA24" s="728"/>
      <c r="AB24" s="728"/>
      <c r="AC24" s="728"/>
      <c r="AD24" s="728"/>
      <c r="AE24" s="728"/>
      <c r="AF24" s="728"/>
      <c r="AG24" s="728"/>
      <c r="AH24" s="728"/>
      <c r="AI24" s="728"/>
      <c r="AJ24" s="728"/>
      <c r="AK24" s="755"/>
      <c r="AL24" s="728"/>
      <c r="AM24" s="728"/>
      <c r="AN24" s="728"/>
      <c r="AO24" s="728"/>
      <c r="AP24" s="728"/>
      <c r="AQ24" s="728"/>
      <c r="AR24" s="728"/>
      <c r="AS24" s="728"/>
      <c r="AT24" s="728"/>
      <c r="AU24" s="728"/>
      <c r="AV24" s="728"/>
      <c r="AW24" s="728"/>
      <c r="AX24" s="728"/>
      <c r="AY24" s="728"/>
      <c r="AZ24" s="728"/>
      <c r="BA24" s="728"/>
      <c r="BB24" s="728"/>
      <c r="BC24" s="728"/>
      <c r="BD24" s="728"/>
      <c r="BE24" s="728"/>
      <c r="BF24" s="756"/>
      <c r="BG24" s="756"/>
      <c r="BH24" s="728"/>
      <c r="BI24" s="728"/>
      <c r="BJ24" s="730"/>
      <c r="BK24" s="728"/>
      <c r="BL24" s="728"/>
      <c r="BM24" s="730"/>
      <c r="BN24" s="737"/>
    </row>
    <row r="25" spans="1:66" s="143" customFormat="1" ht="54.9" customHeight="1" x14ac:dyDescent="0.2">
      <c r="A25" s="141"/>
      <c r="B25" s="443" t="s">
        <v>2735</v>
      </c>
      <c r="C25" s="539"/>
      <c r="D25" s="470" t="s">
        <v>2736</v>
      </c>
      <c r="E25" s="471"/>
      <c r="F25" s="754"/>
      <c r="G25" s="728"/>
      <c r="H25" s="728"/>
      <c r="I25" s="728"/>
      <c r="J25" s="728"/>
      <c r="K25" s="728"/>
      <c r="L25" s="728"/>
      <c r="M25" s="728"/>
      <c r="N25" s="728"/>
      <c r="O25" s="728"/>
      <c r="P25" s="728"/>
      <c r="Q25" s="728"/>
      <c r="R25" s="728"/>
      <c r="S25" s="728"/>
      <c r="T25" s="728"/>
      <c r="U25" s="728"/>
      <c r="V25" s="728"/>
      <c r="W25" s="728"/>
      <c r="X25" s="728"/>
      <c r="Y25" s="728"/>
      <c r="Z25" s="728"/>
      <c r="AA25" s="728"/>
      <c r="AB25" s="728"/>
      <c r="AC25" s="728"/>
      <c r="AD25" s="728"/>
      <c r="AE25" s="728"/>
      <c r="AF25" s="728"/>
      <c r="AG25" s="728"/>
      <c r="AH25" s="728"/>
      <c r="AI25" s="728"/>
      <c r="AJ25" s="728"/>
      <c r="AK25" s="755"/>
      <c r="AL25" s="728"/>
      <c r="AM25" s="728"/>
      <c r="AN25" s="728"/>
      <c r="AO25" s="728"/>
      <c r="AP25" s="728"/>
      <c r="AQ25" s="728"/>
      <c r="AR25" s="728"/>
      <c r="AS25" s="728"/>
      <c r="AT25" s="728"/>
      <c r="AU25" s="728"/>
      <c r="AV25" s="728"/>
      <c r="AW25" s="728"/>
      <c r="AX25" s="728"/>
      <c r="AY25" s="728"/>
      <c r="AZ25" s="728"/>
      <c r="BA25" s="728"/>
      <c r="BB25" s="728"/>
      <c r="BC25" s="728"/>
      <c r="BD25" s="728"/>
      <c r="BE25" s="728"/>
      <c r="BF25" s="756"/>
      <c r="BG25" s="756"/>
      <c r="BH25" s="728"/>
      <c r="BI25" s="728"/>
      <c r="BJ25" s="730"/>
      <c r="BK25" s="728"/>
      <c r="BL25" s="728"/>
      <c r="BM25" s="730"/>
      <c r="BN25" s="737"/>
    </row>
    <row r="26" spans="1:66" s="143" customFormat="1" ht="54.9" customHeight="1" x14ac:dyDescent="0.2">
      <c r="A26" s="141"/>
      <c r="B26" s="443" t="s">
        <v>2737</v>
      </c>
      <c r="C26" s="539"/>
      <c r="D26" s="470" t="s">
        <v>2738</v>
      </c>
      <c r="E26" s="471"/>
      <c r="F26" s="754"/>
      <c r="G26" s="728"/>
      <c r="H26" s="728"/>
      <c r="I26" s="728"/>
      <c r="J26" s="728"/>
      <c r="K26" s="728"/>
      <c r="L26" s="728"/>
      <c r="M26" s="728"/>
      <c r="N26" s="728"/>
      <c r="O26" s="728"/>
      <c r="P26" s="728"/>
      <c r="Q26" s="728"/>
      <c r="R26" s="728"/>
      <c r="S26" s="728"/>
      <c r="T26" s="728"/>
      <c r="U26" s="728"/>
      <c r="V26" s="728"/>
      <c r="W26" s="728"/>
      <c r="X26" s="728"/>
      <c r="Y26" s="728"/>
      <c r="Z26" s="728"/>
      <c r="AA26" s="728"/>
      <c r="AB26" s="728"/>
      <c r="AC26" s="728"/>
      <c r="AD26" s="728"/>
      <c r="AE26" s="728"/>
      <c r="AF26" s="728"/>
      <c r="AG26" s="728"/>
      <c r="AH26" s="728"/>
      <c r="AI26" s="728"/>
      <c r="AJ26" s="728"/>
      <c r="AK26" s="755"/>
      <c r="AL26" s="728"/>
      <c r="AM26" s="728"/>
      <c r="AN26" s="728"/>
      <c r="AO26" s="728"/>
      <c r="AP26" s="728"/>
      <c r="AQ26" s="728"/>
      <c r="AR26" s="728"/>
      <c r="AS26" s="728"/>
      <c r="AT26" s="728"/>
      <c r="AU26" s="728"/>
      <c r="AV26" s="728"/>
      <c r="AW26" s="728"/>
      <c r="AX26" s="728"/>
      <c r="AY26" s="728"/>
      <c r="AZ26" s="728"/>
      <c r="BA26" s="728"/>
      <c r="BB26" s="728"/>
      <c r="BC26" s="728"/>
      <c r="BD26" s="728"/>
      <c r="BE26" s="728"/>
      <c r="BF26" s="756"/>
      <c r="BG26" s="756"/>
      <c r="BH26" s="728"/>
      <c r="BI26" s="728"/>
      <c r="BJ26" s="730"/>
      <c r="BK26" s="728"/>
      <c r="BL26" s="728"/>
      <c r="BM26" s="730"/>
      <c r="BN26" s="737"/>
    </row>
    <row r="27" spans="1:66" s="143" customFormat="1" ht="54.9" customHeight="1" x14ac:dyDescent="0.2">
      <c r="A27" s="141"/>
      <c r="B27" s="443" t="s">
        <v>2739</v>
      </c>
      <c r="C27" s="539"/>
      <c r="D27" s="470" t="s">
        <v>2740</v>
      </c>
      <c r="E27" s="471"/>
      <c r="F27" s="754"/>
      <c r="G27" s="728"/>
      <c r="H27" s="728"/>
      <c r="I27" s="728"/>
      <c r="J27" s="728"/>
      <c r="K27" s="728"/>
      <c r="L27" s="728"/>
      <c r="M27" s="728"/>
      <c r="N27" s="728"/>
      <c r="O27" s="728"/>
      <c r="P27" s="728"/>
      <c r="Q27" s="728"/>
      <c r="R27" s="728"/>
      <c r="S27" s="728"/>
      <c r="T27" s="728"/>
      <c r="U27" s="728"/>
      <c r="V27" s="728"/>
      <c r="W27" s="728"/>
      <c r="X27" s="728"/>
      <c r="Y27" s="728"/>
      <c r="Z27" s="728"/>
      <c r="AA27" s="728"/>
      <c r="AB27" s="728"/>
      <c r="AC27" s="728"/>
      <c r="AD27" s="728"/>
      <c r="AE27" s="728"/>
      <c r="AF27" s="728"/>
      <c r="AG27" s="728"/>
      <c r="AH27" s="728"/>
      <c r="AI27" s="728"/>
      <c r="AJ27" s="728"/>
      <c r="AK27" s="755"/>
      <c r="AL27" s="728"/>
      <c r="AM27" s="728"/>
      <c r="AN27" s="728"/>
      <c r="AO27" s="728"/>
      <c r="AP27" s="728"/>
      <c r="AQ27" s="728"/>
      <c r="AR27" s="728"/>
      <c r="AS27" s="728"/>
      <c r="AT27" s="728"/>
      <c r="AU27" s="728"/>
      <c r="AV27" s="728"/>
      <c r="AW27" s="728"/>
      <c r="AX27" s="728"/>
      <c r="AY27" s="728"/>
      <c r="AZ27" s="728"/>
      <c r="BA27" s="728"/>
      <c r="BB27" s="728"/>
      <c r="BC27" s="728"/>
      <c r="BD27" s="728"/>
      <c r="BE27" s="728"/>
      <c r="BF27" s="756"/>
      <c r="BG27" s="756"/>
      <c r="BH27" s="728"/>
      <c r="BI27" s="728"/>
      <c r="BJ27" s="730"/>
      <c r="BK27" s="728"/>
      <c r="BL27" s="728"/>
      <c r="BM27" s="730"/>
      <c r="BN27" s="737"/>
    </row>
    <row r="28" spans="1:66" s="143" customFormat="1" ht="54.9" customHeight="1" x14ac:dyDescent="0.2">
      <c r="A28" s="141"/>
      <c r="B28" s="443" t="s">
        <v>2741</v>
      </c>
      <c r="C28" s="539"/>
      <c r="D28" s="470" t="s">
        <v>2742</v>
      </c>
      <c r="E28" s="471"/>
      <c r="F28" s="754"/>
      <c r="G28" s="728"/>
      <c r="H28" s="728"/>
      <c r="I28" s="728"/>
      <c r="J28" s="728"/>
      <c r="K28" s="728"/>
      <c r="L28" s="728"/>
      <c r="M28" s="728"/>
      <c r="N28" s="728"/>
      <c r="O28" s="728"/>
      <c r="P28" s="728"/>
      <c r="Q28" s="728"/>
      <c r="R28" s="728"/>
      <c r="S28" s="728"/>
      <c r="T28" s="728"/>
      <c r="U28" s="728"/>
      <c r="V28" s="728"/>
      <c r="W28" s="728"/>
      <c r="X28" s="728"/>
      <c r="Y28" s="728"/>
      <c r="Z28" s="728"/>
      <c r="AA28" s="728"/>
      <c r="AB28" s="728"/>
      <c r="AC28" s="728"/>
      <c r="AD28" s="728"/>
      <c r="AE28" s="728"/>
      <c r="AF28" s="728"/>
      <c r="AG28" s="728"/>
      <c r="AH28" s="728"/>
      <c r="AI28" s="728"/>
      <c r="AJ28" s="728"/>
      <c r="AK28" s="755"/>
      <c r="AL28" s="728"/>
      <c r="AM28" s="728"/>
      <c r="AN28" s="728"/>
      <c r="AO28" s="728"/>
      <c r="AP28" s="728"/>
      <c r="AQ28" s="728"/>
      <c r="AR28" s="728"/>
      <c r="AS28" s="728"/>
      <c r="AT28" s="728"/>
      <c r="AU28" s="728"/>
      <c r="AV28" s="728"/>
      <c r="AW28" s="728"/>
      <c r="AX28" s="728"/>
      <c r="AY28" s="728"/>
      <c r="AZ28" s="728"/>
      <c r="BA28" s="728"/>
      <c r="BB28" s="728"/>
      <c r="BC28" s="728"/>
      <c r="BD28" s="728"/>
      <c r="BE28" s="728"/>
      <c r="BF28" s="756"/>
      <c r="BG28" s="756"/>
      <c r="BH28" s="728"/>
      <c r="BI28" s="728"/>
      <c r="BJ28" s="730"/>
      <c r="BK28" s="728"/>
      <c r="BL28" s="728"/>
      <c r="BM28" s="730"/>
      <c r="BN28" s="737"/>
    </row>
    <row r="29" spans="1:66" s="143" customFormat="1" ht="54.9" customHeight="1" thickBot="1" x14ac:dyDescent="0.25">
      <c r="A29" s="141"/>
      <c r="B29" s="444" t="s">
        <v>2743</v>
      </c>
      <c r="C29" s="472"/>
      <c r="D29" s="473" t="s">
        <v>2744</v>
      </c>
      <c r="E29" s="474"/>
      <c r="F29" s="757"/>
      <c r="G29" s="758"/>
      <c r="H29" s="758"/>
      <c r="I29" s="758"/>
      <c r="J29" s="758"/>
      <c r="K29" s="758"/>
      <c r="L29" s="758"/>
      <c r="M29" s="758"/>
      <c r="N29" s="758"/>
      <c r="O29" s="758"/>
      <c r="P29" s="758"/>
      <c r="Q29" s="758"/>
      <c r="R29" s="758"/>
      <c r="S29" s="758"/>
      <c r="T29" s="758"/>
      <c r="U29" s="758"/>
      <c r="V29" s="758"/>
      <c r="W29" s="758"/>
      <c r="X29" s="758"/>
      <c r="Y29" s="758"/>
      <c r="Z29" s="758"/>
      <c r="AA29" s="758"/>
      <c r="AB29" s="758"/>
      <c r="AC29" s="758"/>
      <c r="AD29" s="758"/>
      <c r="AE29" s="758"/>
      <c r="AF29" s="758"/>
      <c r="AG29" s="758"/>
      <c r="AH29" s="758"/>
      <c r="AI29" s="758"/>
      <c r="AJ29" s="758"/>
      <c r="AK29" s="759"/>
      <c r="AL29" s="758"/>
      <c r="AM29" s="758"/>
      <c r="AN29" s="758"/>
      <c r="AO29" s="758"/>
      <c r="AP29" s="758"/>
      <c r="AQ29" s="758"/>
      <c r="AR29" s="758"/>
      <c r="AS29" s="758"/>
      <c r="AT29" s="758"/>
      <c r="AU29" s="758"/>
      <c r="AV29" s="758"/>
      <c r="AW29" s="758"/>
      <c r="AX29" s="758"/>
      <c r="AY29" s="758"/>
      <c r="AZ29" s="758"/>
      <c r="BA29" s="758"/>
      <c r="BB29" s="758"/>
      <c r="BC29" s="758"/>
      <c r="BD29" s="758"/>
      <c r="BE29" s="758"/>
      <c r="BF29" s="760"/>
      <c r="BG29" s="760"/>
      <c r="BH29" s="758"/>
      <c r="BI29" s="758"/>
      <c r="BJ29" s="761"/>
      <c r="BK29" s="758"/>
      <c r="BL29" s="758"/>
      <c r="BM29" s="761"/>
      <c r="BN29" s="762"/>
    </row>
    <row r="30" spans="1:66" s="145" customFormat="1" ht="26.25" customHeight="1" x14ac:dyDescent="0.3">
      <c r="C30" s="146"/>
      <c r="D30" s="146"/>
      <c r="E30" s="146"/>
      <c r="F30" s="142"/>
      <c r="G30" s="142"/>
      <c r="H30" s="142"/>
      <c r="I30" s="142"/>
      <c r="J30" s="142"/>
      <c r="K30" s="147"/>
      <c r="L30" s="148"/>
      <c r="M30" s="149"/>
      <c r="N30" s="149"/>
      <c r="O30" s="149"/>
      <c r="P30" s="149"/>
      <c r="Q30" s="149"/>
      <c r="R30" s="149"/>
      <c r="S30" s="149"/>
      <c r="T30" s="149"/>
      <c r="U30" s="149"/>
      <c r="V30" s="149"/>
      <c r="W30" s="149"/>
      <c r="X30" s="149"/>
      <c r="Y30" s="149"/>
      <c r="Z30" s="149"/>
      <c r="AA30" s="149"/>
      <c r="AB30" s="2260"/>
      <c r="AC30" s="2260"/>
      <c r="AD30" s="2260"/>
      <c r="AE30" s="2260"/>
      <c r="AF30" s="2260"/>
      <c r="AG30" s="2260"/>
      <c r="AH30" s="2260"/>
      <c r="AI30" s="2261"/>
      <c r="AJ30" s="144"/>
      <c r="AK30" s="150"/>
      <c r="AL30" s="144"/>
      <c r="BF30" s="126"/>
      <c r="BG30" s="126"/>
    </row>
    <row r="31" spans="1:66" ht="26.25" customHeight="1" x14ac:dyDescent="0.2">
      <c r="D31" s="2262"/>
      <c r="E31" s="2262"/>
      <c r="F31" s="2262"/>
      <c r="G31" s="2262"/>
      <c r="H31" s="2262"/>
      <c r="I31" s="2262"/>
      <c r="J31" s="2262"/>
      <c r="K31" s="2262"/>
      <c r="L31" s="2262"/>
      <c r="M31" s="2262"/>
      <c r="N31" s="2262"/>
      <c r="O31" s="2262"/>
      <c r="P31" s="2262"/>
      <c r="Q31" s="2262"/>
      <c r="R31" s="2262"/>
      <c r="S31" s="2262"/>
      <c r="T31" s="2262"/>
      <c r="U31" s="2262"/>
      <c r="V31" s="2262"/>
      <c r="W31" s="2262"/>
      <c r="X31" s="2262"/>
      <c r="Y31" s="2262"/>
      <c r="Z31" s="2262"/>
      <c r="AA31" s="2262"/>
      <c r="AB31" s="2262"/>
      <c r="AC31" s="2262"/>
      <c r="AD31" s="2262"/>
      <c r="AE31" s="2262"/>
      <c r="AF31" s="2262"/>
      <c r="AG31" s="2262"/>
      <c r="AH31" s="2262"/>
      <c r="AI31" s="2262"/>
      <c r="AJ31" s="2262"/>
      <c r="AK31" s="2262"/>
      <c r="AL31" s="2262"/>
      <c r="AM31" s="2262"/>
      <c r="AN31" s="2262"/>
      <c r="AO31" s="2262"/>
      <c r="AP31" s="2262"/>
      <c r="AQ31" s="2262"/>
    </row>
    <row r="32" spans="1:66" ht="26.25" customHeight="1" x14ac:dyDescent="0.2"/>
  </sheetData>
  <mergeCells count="30">
    <mergeCell ref="AI5:AX5"/>
    <mergeCell ref="AB30:AI30"/>
    <mergeCell ref="D31:AQ31"/>
    <mergeCell ref="C8:E8"/>
    <mergeCell ref="D9:E9"/>
    <mergeCell ref="C10:E10"/>
    <mergeCell ref="C13:D13"/>
    <mergeCell ref="C16:D16"/>
    <mergeCell ref="C19:BN19"/>
    <mergeCell ref="L5:AA5"/>
    <mergeCell ref="AB5:AC5"/>
    <mergeCell ref="AD5:AE5"/>
    <mergeCell ref="AF5:AF6"/>
    <mergeCell ref="AG5:AH5"/>
    <mergeCell ref="B2:Z2"/>
    <mergeCell ref="BD2:BN2"/>
    <mergeCell ref="AI4:BE4"/>
    <mergeCell ref="AY5:AZ5"/>
    <mergeCell ref="BA5:BB5"/>
    <mergeCell ref="BC5:BC6"/>
    <mergeCell ref="BD5:BE5"/>
    <mergeCell ref="B4:E7"/>
    <mergeCell ref="F4:G5"/>
    <mergeCell ref="H4:I5"/>
    <mergeCell ref="J4:K5"/>
    <mergeCell ref="L4:AH4"/>
    <mergeCell ref="BF4:BG5"/>
    <mergeCell ref="BH4:BJ5"/>
    <mergeCell ref="BK4:BM5"/>
    <mergeCell ref="BN4:BN6"/>
  </mergeCells>
  <printOptions horizontalCentered="1" verticalCentered="1"/>
  <pageMargins left="0.19685039370078741" right="0.15748031496062992" top="0.55118110236220474" bottom="0.35433070866141736" header="0.31496062992125984" footer="0.31496062992125984"/>
  <pageSetup paperSize="9" scale="22" fitToWidth="0" orientation="landscape" r:id="rId1"/>
  <headerFooter>
    <oddHeader>&amp;CFR
ANNEXE I</oddHeader>
    <oddFooter>&amp;CPage &amp;P sur &amp;N</oddFooter>
  </headerFooter>
  <colBreaks count="2" manualBreakCount="2">
    <brk id="27" min="1" max="28" man="1"/>
    <brk id="55" min="1" max="28" man="1"/>
  </colBreaks>
  <ignoredErrors>
    <ignoredError sqref="F7:BN7 B8:B29"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B1:AX21"/>
  <sheetViews>
    <sheetView showGridLines="0" topLeftCell="E1" zoomScale="25" zoomScaleNormal="25" zoomScalePageLayoutView="40" workbookViewId="0">
      <selection activeCell="H39" sqref="H39"/>
    </sheetView>
  </sheetViews>
  <sheetFormatPr defaultColWidth="11.44140625" defaultRowHeight="13.8" x14ac:dyDescent="0.25"/>
  <cols>
    <col min="1" max="1" width="3.44140625" style="152" customWidth="1"/>
    <col min="2" max="2" width="17.6640625" style="152" customWidth="1"/>
    <col min="3" max="3" width="4.109375" style="153" customWidth="1"/>
    <col min="4" max="4" width="67.6640625" style="153" customWidth="1"/>
    <col min="5" max="5" width="24.6640625" style="153" customWidth="1"/>
    <col min="6" max="10" width="23.5546875" style="154" customWidth="1"/>
    <col min="11" max="11" width="26.88671875" style="155" customWidth="1"/>
    <col min="12" max="12" width="14.109375" style="155" customWidth="1"/>
    <col min="13" max="21" width="14.109375" style="152" customWidth="1"/>
    <col min="22" max="22" width="18.6640625" style="152" customWidth="1"/>
    <col min="23" max="23" width="20.44140625" style="152" customWidth="1"/>
    <col min="24" max="24" width="17.88671875" style="152" customWidth="1"/>
    <col min="25" max="25" width="20.33203125" style="152" customWidth="1"/>
    <col min="26" max="26" width="21.44140625" style="152" customWidth="1"/>
    <col min="27" max="27" width="16.88671875" style="152" customWidth="1"/>
    <col min="28" max="28" width="20.109375" style="152" customWidth="1"/>
    <col min="29" max="29" width="13.44140625" style="152" customWidth="1"/>
    <col min="30" max="30" width="15.6640625" style="152" customWidth="1"/>
    <col min="31" max="31" width="17.5546875" style="152" customWidth="1"/>
    <col min="32" max="33" width="15.44140625" style="152" customWidth="1"/>
    <col min="34" max="35" width="14.109375" style="152" customWidth="1"/>
    <col min="36" max="36" width="13.88671875" style="152" customWidth="1"/>
    <col min="37" max="38" width="15" style="152" customWidth="1"/>
    <col min="39" max="39" width="16.6640625" style="152" customWidth="1"/>
    <col min="40" max="40" width="22.33203125" style="152" customWidth="1"/>
    <col min="41" max="41" width="18.109375" style="152" customWidth="1"/>
    <col min="42" max="42" width="20" style="152" customWidth="1"/>
    <col min="43" max="43" width="23.109375" style="152" customWidth="1"/>
    <col min="44" max="44" width="17.5546875" style="152" customWidth="1"/>
    <col min="45" max="45" width="19.5546875" style="152" customWidth="1"/>
    <col min="46" max="49" width="25.44140625" style="152" customWidth="1"/>
    <col min="50" max="50" width="34.33203125" style="152" customWidth="1"/>
    <col min="51" max="16384" width="11.44140625" style="152"/>
  </cols>
  <sheetData>
    <row r="1" spans="2:50" ht="17.25" customHeight="1" thickBot="1" x14ac:dyDescent="0.25"/>
    <row r="2" spans="2:50" s="423" customFormat="1" ht="42" customHeight="1" thickBot="1" x14ac:dyDescent="0.35">
      <c r="B2" s="1578" t="s">
        <v>2745</v>
      </c>
      <c r="C2" s="1579"/>
      <c r="D2" s="1579"/>
      <c r="E2" s="1579"/>
      <c r="F2" s="1579"/>
      <c r="G2" s="1579"/>
      <c r="H2" s="1579"/>
      <c r="I2" s="1579"/>
      <c r="J2" s="1579"/>
      <c r="K2" s="1579"/>
      <c r="L2" s="1579"/>
      <c r="M2" s="1579"/>
      <c r="N2" s="1579"/>
      <c r="O2" s="1579"/>
      <c r="P2" s="1579"/>
      <c r="Q2" s="1579"/>
      <c r="R2" s="1579"/>
      <c r="S2" s="1579"/>
      <c r="T2" s="1579"/>
      <c r="U2" s="1579"/>
      <c r="V2" s="1579"/>
      <c r="W2" s="1579"/>
      <c r="X2" s="1579"/>
      <c r="Y2" s="1579"/>
      <c r="Z2" s="1578" t="s">
        <v>2746</v>
      </c>
      <c r="AA2" s="1579"/>
      <c r="AB2" s="1579"/>
      <c r="AC2" s="1579"/>
      <c r="AD2" s="1579"/>
      <c r="AE2" s="1579"/>
      <c r="AF2" s="1579"/>
      <c r="AG2" s="1579"/>
      <c r="AH2" s="1579"/>
      <c r="AI2" s="1579"/>
      <c r="AJ2" s="1579"/>
      <c r="AK2" s="1579"/>
      <c r="AL2" s="1579"/>
      <c r="AM2" s="1579"/>
      <c r="AN2" s="1579"/>
      <c r="AO2" s="1579"/>
      <c r="AP2" s="1579"/>
      <c r="AQ2" s="1579"/>
      <c r="AR2" s="1579"/>
      <c r="AS2" s="1579"/>
      <c r="AT2" s="1579"/>
      <c r="AU2" s="1579"/>
      <c r="AV2" s="1579"/>
      <c r="AW2" s="1579"/>
      <c r="AX2" s="1580"/>
    </row>
    <row r="3" spans="2:50" ht="28.5" customHeight="1" thickBot="1" x14ac:dyDescent="0.25">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7"/>
      <c r="AE3" s="158"/>
      <c r="AF3" s="157"/>
      <c r="AG3" s="157"/>
      <c r="AH3" s="159"/>
      <c r="AI3" s="159"/>
      <c r="AJ3" s="159"/>
      <c r="AK3" s="159"/>
      <c r="AL3" s="159"/>
      <c r="AM3" s="159"/>
      <c r="AN3" s="159"/>
      <c r="AO3" s="159"/>
      <c r="AP3" s="159"/>
      <c r="AQ3" s="159"/>
      <c r="AR3" s="159"/>
      <c r="AS3" s="157"/>
      <c r="AT3" s="157"/>
      <c r="AU3" s="157"/>
      <c r="AV3" s="157"/>
      <c r="AW3" s="157"/>
      <c r="AX3" s="157"/>
    </row>
    <row r="4" spans="2:50" s="160" customFormat="1" ht="102" customHeight="1" x14ac:dyDescent="0.3">
      <c r="B4" s="2300"/>
      <c r="C4" s="2301"/>
      <c r="D4" s="2301"/>
      <c r="E4" s="2302"/>
      <c r="F4" s="2281" t="s">
        <v>2747</v>
      </c>
      <c r="G4" s="2281"/>
      <c r="H4" s="2281" t="s">
        <v>2748</v>
      </c>
      <c r="I4" s="2281"/>
      <c r="J4" s="2281" t="s">
        <v>2749</v>
      </c>
      <c r="K4" s="2281"/>
      <c r="L4" s="2276" t="s">
        <v>2750</v>
      </c>
      <c r="M4" s="2277"/>
      <c r="N4" s="2277"/>
      <c r="O4" s="2277"/>
      <c r="P4" s="2277"/>
      <c r="Q4" s="2277"/>
      <c r="R4" s="2277"/>
      <c r="S4" s="2277"/>
      <c r="T4" s="2277"/>
      <c r="U4" s="2277"/>
      <c r="V4" s="2277"/>
      <c r="W4" s="2277"/>
      <c r="X4" s="2277"/>
      <c r="Y4" s="2277"/>
      <c r="Z4" s="2277"/>
      <c r="AA4" s="2277"/>
      <c r="AB4" s="2277"/>
      <c r="AC4" s="2276" t="s">
        <v>2751</v>
      </c>
      <c r="AD4" s="2277"/>
      <c r="AE4" s="2277"/>
      <c r="AF4" s="2277"/>
      <c r="AG4" s="2277"/>
      <c r="AH4" s="2277"/>
      <c r="AI4" s="2277"/>
      <c r="AJ4" s="2277"/>
      <c r="AK4" s="2277"/>
      <c r="AL4" s="2277"/>
      <c r="AM4" s="2277"/>
      <c r="AN4" s="2277"/>
      <c r="AO4" s="2277"/>
      <c r="AP4" s="2277"/>
      <c r="AQ4" s="2277"/>
      <c r="AR4" s="2277"/>
      <c r="AS4" s="2277"/>
      <c r="AT4" s="2312" t="s">
        <v>2752</v>
      </c>
      <c r="AU4" s="2313"/>
      <c r="AV4" s="2312" t="s">
        <v>2753</v>
      </c>
      <c r="AW4" s="2313"/>
      <c r="AX4" s="2316" t="s">
        <v>2754</v>
      </c>
    </row>
    <row r="5" spans="2:50" s="160" customFormat="1" ht="78.75" customHeight="1" x14ac:dyDescent="0.3">
      <c r="B5" s="2303"/>
      <c r="C5" s="2304"/>
      <c r="D5" s="2304"/>
      <c r="E5" s="2305"/>
      <c r="F5" s="2282"/>
      <c r="G5" s="2282"/>
      <c r="H5" s="2282"/>
      <c r="I5" s="2282"/>
      <c r="J5" s="2282"/>
      <c r="K5" s="2282"/>
      <c r="L5" s="2273" t="s">
        <v>2755</v>
      </c>
      <c r="M5" s="2274"/>
      <c r="N5" s="2274"/>
      <c r="O5" s="2274"/>
      <c r="P5" s="2274"/>
      <c r="Q5" s="2274"/>
      <c r="R5" s="2274"/>
      <c r="S5" s="2274"/>
      <c r="T5" s="2274"/>
      <c r="U5" s="2275"/>
      <c r="V5" s="2283">
        <v>12.5</v>
      </c>
      <c r="W5" s="2283"/>
      <c r="X5" s="2288" t="s">
        <v>2756</v>
      </c>
      <c r="Y5" s="2289"/>
      <c r="Z5" s="2283" t="s">
        <v>2757</v>
      </c>
      <c r="AA5" s="2290" t="s">
        <v>2758</v>
      </c>
      <c r="AB5" s="2291"/>
      <c r="AC5" s="2273" t="s">
        <v>2759</v>
      </c>
      <c r="AD5" s="2274"/>
      <c r="AE5" s="2274"/>
      <c r="AF5" s="2274"/>
      <c r="AG5" s="2274"/>
      <c r="AH5" s="2274"/>
      <c r="AI5" s="2274"/>
      <c r="AJ5" s="2274"/>
      <c r="AK5" s="2274"/>
      <c r="AL5" s="2275"/>
      <c r="AM5" s="2283">
        <v>12.5</v>
      </c>
      <c r="AN5" s="2283"/>
      <c r="AO5" s="2288" t="s">
        <v>2760</v>
      </c>
      <c r="AP5" s="2289"/>
      <c r="AQ5" s="2283" t="s">
        <v>2761</v>
      </c>
      <c r="AR5" s="2290" t="s">
        <v>2762</v>
      </c>
      <c r="AS5" s="2291"/>
      <c r="AT5" s="2314"/>
      <c r="AU5" s="2315"/>
      <c r="AV5" s="2314"/>
      <c r="AW5" s="2315"/>
      <c r="AX5" s="2317"/>
    </row>
    <row r="6" spans="2:50" s="160" customFormat="1" ht="113.25" customHeight="1" x14ac:dyDescent="0.3">
      <c r="B6" s="2303"/>
      <c r="C6" s="2304"/>
      <c r="D6" s="2304"/>
      <c r="E6" s="2305"/>
      <c r="F6" s="542" t="s">
        <v>2763</v>
      </c>
      <c r="G6" s="542" t="s">
        <v>2764</v>
      </c>
      <c r="H6" s="1530" t="s">
        <v>2765</v>
      </c>
      <c r="I6" s="1530" t="s">
        <v>2766</v>
      </c>
      <c r="J6" s="542" t="s">
        <v>2767</v>
      </c>
      <c r="K6" s="542" t="s">
        <v>2768</v>
      </c>
      <c r="L6" s="541" t="s">
        <v>2769</v>
      </c>
      <c r="M6" s="541" t="s">
        <v>2770</v>
      </c>
      <c r="N6" s="541" t="s">
        <v>2771</v>
      </c>
      <c r="O6" s="541" t="s">
        <v>2772</v>
      </c>
      <c r="P6" s="541">
        <v>1</v>
      </c>
      <c r="Q6" s="541">
        <v>2.5</v>
      </c>
      <c r="R6" s="541">
        <v>3.5</v>
      </c>
      <c r="S6" s="541">
        <v>4.25</v>
      </c>
      <c r="T6" s="541">
        <v>6.5</v>
      </c>
      <c r="U6" s="541" t="s">
        <v>2773</v>
      </c>
      <c r="V6" s="542" t="s">
        <v>2774</v>
      </c>
      <c r="W6" s="542" t="s">
        <v>2775</v>
      </c>
      <c r="X6" s="424"/>
      <c r="Y6" s="542" t="s">
        <v>2776</v>
      </c>
      <c r="Z6" s="2283"/>
      <c r="AA6" s="425"/>
      <c r="AB6" s="542" t="s">
        <v>2777</v>
      </c>
      <c r="AC6" s="541" t="s">
        <v>2778</v>
      </c>
      <c r="AD6" s="541" t="s">
        <v>2779</v>
      </c>
      <c r="AE6" s="541" t="s">
        <v>2780</v>
      </c>
      <c r="AF6" s="541" t="s">
        <v>2781</v>
      </c>
      <c r="AG6" s="541">
        <v>1</v>
      </c>
      <c r="AH6" s="541">
        <v>2.5</v>
      </c>
      <c r="AI6" s="541">
        <v>3.5</v>
      </c>
      <c r="AJ6" s="541">
        <v>4.25</v>
      </c>
      <c r="AK6" s="541">
        <v>6.5</v>
      </c>
      <c r="AL6" s="541" t="s">
        <v>2782</v>
      </c>
      <c r="AM6" s="542" t="s">
        <v>2783</v>
      </c>
      <c r="AN6" s="542" t="s">
        <v>2784</v>
      </c>
      <c r="AO6" s="424"/>
      <c r="AP6" s="542" t="s">
        <v>2785</v>
      </c>
      <c r="AQ6" s="2283"/>
      <c r="AR6" s="425"/>
      <c r="AS6" s="542" t="s">
        <v>2786</v>
      </c>
      <c r="AT6" s="426" t="s">
        <v>2787</v>
      </c>
      <c r="AU6" s="426" t="s">
        <v>2788</v>
      </c>
      <c r="AV6" s="426" t="s">
        <v>2789</v>
      </c>
      <c r="AW6" s="426" t="s">
        <v>2790</v>
      </c>
      <c r="AX6" s="2318"/>
    </row>
    <row r="7" spans="2:50" s="161" customFormat="1" ht="37.5" customHeight="1" x14ac:dyDescent="0.3">
      <c r="B7" s="2306"/>
      <c r="C7" s="2307"/>
      <c r="D7" s="2307"/>
      <c r="E7" s="2308"/>
      <c r="F7" s="427" t="s">
        <v>2791</v>
      </c>
      <c r="G7" s="427" t="s">
        <v>2792</v>
      </c>
      <c r="H7" s="427" t="s">
        <v>2793</v>
      </c>
      <c r="I7" s="427" t="s">
        <v>2794</v>
      </c>
      <c r="J7" s="427" t="s">
        <v>2795</v>
      </c>
      <c r="K7" s="427" t="s">
        <v>2796</v>
      </c>
      <c r="L7" s="427" t="s">
        <v>2797</v>
      </c>
      <c r="M7" s="427" t="s">
        <v>2798</v>
      </c>
      <c r="N7" s="427" t="s">
        <v>2799</v>
      </c>
      <c r="O7" s="427" t="s">
        <v>2800</v>
      </c>
      <c r="P7" s="427" t="s">
        <v>2801</v>
      </c>
      <c r="Q7" s="427" t="s">
        <v>2802</v>
      </c>
      <c r="R7" s="427" t="s">
        <v>2803</v>
      </c>
      <c r="S7" s="427" t="s">
        <v>2804</v>
      </c>
      <c r="T7" s="427" t="s">
        <v>2805</v>
      </c>
      <c r="U7" s="427" t="s">
        <v>2806</v>
      </c>
      <c r="V7" s="427" t="s">
        <v>2807</v>
      </c>
      <c r="W7" s="427" t="s">
        <v>2808</v>
      </c>
      <c r="X7" s="427" t="s">
        <v>2809</v>
      </c>
      <c r="Y7" s="427" t="s">
        <v>2810</v>
      </c>
      <c r="Z7" s="427" t="s">
        <v>2811</v>
      </c>
      <c r="AA7" s="427" t="s">
        <v>2812</v>
      </c>
      <c r="AB7" s="427" t="s">
        <v>2813</v>
      </c>
      <c r="AC7" s="427" t="s">
        <v>2814</v>
      </c>
      <c r="AD7" s="427" t="s">
        <v>2815</v>
      </c>
      <c r="AE7" s="427" t="s">
        <v>2816</v>
      </c>
      <c r="AF7" s="427" t="s">
        <v>2817</v>
      </c>
      <c r="AG7" s="427" t="s">
        <v>2818</v>
      </c>
      <c r="AH7" s="427" t="s">
        <v>2819</v>
      </c>
      <c r="AI7" s="427" t="s">
        <v>2820</v>
      </c>
      <c r="AJ7" s="427" t="s">
        <v>2821</v>
      </c>
      <c r="AK7" s="427" t="s">
        <v>2822</v>
      </c>
      <c r="AL7" s="427" t="s">
        <v>2823</v>
      </c>
      <c r="AM7" s="427" t="s">
        <v>2824</v>
      </c>
      <c r="AN7" s="427" t="s">
        <v>2825</v>
      </c>
      <c r="AO7" s="427" t="s">
        <v>2826</v>
      </c>
      <c r="AP7" s="427" t="s">
        <v>2827</v>
      </c>
      <c r="AQ7" s="427" t="s">
        <v>2828</v>
      </c>
      <c r="AR7" s="427" t="s">
        <v>2829</v>
      </c>
      <c r="AS7" s="427" t="s">
        <v>2830</v>
      </c>
      <c r="AT7" s="427" t="s">
        <v>2831</v>
      </c>
      <c r="AU7" s="427" t="s">
        <v>2832</v>
      </c>
      <c r="AV7" s="427" t="s">
        <v>2833</v>
      </c>
      <c r="AW7" s="427" t="s">
        <v>2834</v>
      </c>
      <c r="AX7" s="428" t="s">
        <v>2835</v>
      </c>
    </row>
    <row r="8" spans="2:50" s="161" customFormat="1" ht="73.8" x14ac:dyDescent="0.3">
      <c r="B8" s="429" t="s">
        <v>2836</v>
      </c>
      <c r="C8" s="2292" t="s">
        <v>2837</v>
      </c>
      <c r="D8" s="2292"/>
      <c r="E8" s="2293"/>
      <c r="F8" s="676"/>
      <c r="G8" s="677"/>
      <c r="H8" s="677"/>
      <c r="I8" s="677"/>
      <c r="J8" s="677"/>
      <c r="K8" s="677"/>
      <c r="L8" s="677"/>
      <c r="M8" s="677"/>
      <c r="N8" s="677"/>
      <c r="O8" s="677"/>
      <c r="P8" s="677"/>
      <c r="Q8" s="677"/>
      <c r="R8" s="677"/>
      <c r="S8" s="677"/>
      <c r="T8" s="677"/>
      <c r="U8" s="677"/>
      <c r="V8" s="677"/>
      <c r="W8" s="677"/>
      <c r="X8" s="677"/>
      <c r="Y8" s="677"/>
      <c r="Z8" s="677"/>
      <c r="AA8" s="677"/>
      <c r="AB8" s="677"/>
      <c r="AC8" s="677"/>
      <c r="AD8" s="678"/>
      <c r="AE8" s="679"/>
      <c r="AF8" s="680"/>
      <c r="AG8" s="677"/>
      <c r="AH8" s="678"/>
      <c r="AI8" s="678"/>
      <c r="AJ8" s="681"/>
      <c r="AK8" s="681"/>
      <c r="AL8" s="681"/>
      <c r="AM8" s="682"/>
      <c r="AN8" s="682"/>
      <c r="AO8" s="682"/>
      <c r="AP8" s="682"/>
      <c r="AQ8" s="682"/>
      <c r="AR8" s="681"/>
      <c r="AS8" s="683"/>
      <c r="AT8" s="683"/>
      <c r="AU8" s="683"/>
      <c r="AV8" s="678"/>
      <c r="AW8" s="678"/>
      <c r="AX8" s="684" t="s">
        <v>2838</v>
      </c>
    </row>
    <row r="9" spans="2:50" s="161" customFormat="1" ht="57" customHeight="1" x14ac:dyDescent="0.25">
      <c r="B9" s="429"/>
      <c r="C9" s="2309" t="s">
        <v>2839</v>
      </c>
      <c r="D9" s="2310"/>
      <c r="E9" s="2310"/>
      <c r="F9" s="2310"/>
      <c r="G9" s="2310"/>
      <c r="H9" s="2310"/>
      <c r="I9" s="2310"/>
      <c r="J9" s="2310"/>
      <c r="K9" s="2310"/>
      <c r="L9" s="2310"/>
      <c r="M9" s="2310"/>
      <c r="N9" s="2310"/>
      <c r="O9" s="2310"/>
      <c r="P9" s="2310"/>
      <c r="Q9" s="2310"/>
      <c r="R9" s="2310"/>
      <c r="S9" s="2310"/>
      <c r="T9" s="2310"/>
      <c r="U9" s="2310"/>
      <c r="V9" s="2310"/>
      <c r="W9" s="2310"/>
      <c r="X9" s="2310"/>
      <c r="Y9" s="2310"/>
      <c r="Z9" s="2310"/>
      <c r="AA9" s="2310"/>
      <c r="AB9" s="2310"/>
      <c r="AC9" s="2310"/>
      <c r="AD9" s="2310"/>
      <c r="AE9" s="2310"/>
      <c r="AF9" s="2310"/>
      <c r="AG9" s="2310"/>
      <c r="AH9" s="2310"/>
      <c r="AI9" s="2310"/>
      <c r="AJ9" s="2310"/>
      <c r="AK9" s="2310"/>
      <c r="AL9" s="2310"/>
      <c r="AM9" s="2310"/>
      <c r="AN9" s="2310"/>
      <c r="AO9" s="2310"/>
      <c r="AP9" s="2310"/>
      <c r="AQ9" s="2310"/>
      <c r="AR9" s="2310"/>
      <c r="AS9" s="2310"/>
      <c r="AT9" s="2310"/>
      <c r="AU9" s="2310"/>
      <c r="AV9" s="2310"/>
      <c r="AW9" s="2310"/>
      <c r="AX9" s="2311"/>
    </row>
    <row r="10" spans="2:50" s="154" customFormat="1" ht="57" customHeight="1" x14ac:dyDescent="0.2">
      <c r="B10" s="430" t="s">
        <v>2840</v>
      </c>
      <c r="C10" s="2286" t="s">
        <v>2841</v>
      </c>
      <c r="D10" s="2286"/>
      <c r="E10" s="2287"/>
      <c r="F10" s="685"/>
      <c r="G10" s="686"/>
      <c r="H10" s="686"/>
      <c r="I10" s="686"/>
      <c r="J10" s="686"/>
      <c r="K10" s="687"/>
      <c r="L10" s="687"/>
      <c r="M10" s="687"/>
      <c r="N10" s="687"/>
      <c r="O10" s="687"/>
      <c r="P10" s="687"/>
      <c r="Q10" s="687"/>
      <c r="R10" s="687"/>
      <c r="S10" s="687"/>
      <c r="T10" s="687"/>
      <c r="U10" s="687"/>
      <c r="V10" s="687"/>
      <c r="W10" s="687"/>
      <c r="X10" s="687"/>
      <c r="Y10" s="687"/>
      <c r="Z10" s="687"/>
      <c r="AA10" s="687"/>
      <c r="AB10" s="687"/>
      <c r="AC10" s="686"/>
      <c r="AD10" s="686"/>
      <c r="AE10" s="688"/>
      <c r="AF10" s="689"/>
      <c r="AG10" s="686"/>
      <c r="AH10" s="687"/>
      <c r="AI10" s="687"/>
      <c r="AJ10" s="686"/>
      <c r="AK10" s="686"/>
      <c r="AL10" s="686"/>
      <c r="AM10" s="686"/>
      <c r="AN10" s="686"/>
      <c r="AO10" s="687"/>
      <c r="AP10" s="687"/>
      <c r="AQ10" s="687"/>
      <c r="AR10" s="687"/>
      <c r="AS10" s="687"/>
      <c r="AT10" s="686"/>
      <c r="AU10" s="686"/>
      <c r="AV10" s="686"/>
      <c r="AW10" s="686"/>
      <c r="AX10" s="690"/>
    </row>
    <row r="11" spans="2:50" s="154" customFormat="1" ht="57" customHeight="1" x14ac:dyDescent="0.2">
      <c r="B11" s="430" t="s">
        <v>2842</v>
      </c>
      <c r="C11" s="459"/>
      <c r="D11" s="543" t="s">
        <v>2843</v>
      </c>
      <c r="E11" s="460"/>
      <c r="F11" s="691"/>
      <c r="G11" s="692"/>
      <c r="H11" s="692"/>
      <c r="I11" s="692"/>
      <c r="J11" s="692"/>
      <c r="K11" s="692"/>
      <c r="L11" s="692"/>
      <c r="M11" s="692"/>
      <c r="N11" s="692"/>
      <c r="O11" s="692"/>
      <c r="P11" s="692"/>
      <c r="Q11" s="692"/>
      <c r="R11" s="692"/>
      <c r="S11" s="692"/>
      <c r="T11" s="692"/>
      <c r="U11" s="693"/>
      <c r="V11" s="692"/>
      <c r="W11" s="692"/>
      <c r="X11" s="692"/>
      <c r="Y11" s="692"/>
      <c r="Z11" s="692"/>
      <c r="AA11" s="692"/>
      <c r="AB11" s="692"/>
      <c r="AC11" s="694"/>
      <c r="AD11" s="694"/>
      <c r="AE11" s="695"/>
      <c r="AF11" s="696"/>
      <c r="AG11" s="694"/>
      <c r="AH11" s="692"/>
      <c r="AI11" s="692"/>
      <c r="AJ11" s="694"/>
      <c r="AK11" s="694"/>
      <c r="AL11" s="693"/>
      <c r="AM11" s="694"/>
      <c r="AN11" s="694"/>
      <c r="AO11" s="692"/>
      <c r="AP11" s="692"/>
      <c r="AQ11" s="692"/>
      <c r="AR11" s="692"/>
      <c r="AS11" s="692"/>
      <c r="AT11" s="694"/>
      <c r="AU11" s="694"/>
      <c r="AV11" s="694"/>
      <c r="AW11" s="694"/>
      <c r="AX11" s="697"/>
    </row>
    <row r="12" spans="2:50" s="154" customFormat="1" ht="57" customHeight="1" x14ac:dyDescent="0.2">
      <c r="B12" s="430" t="s">
        <v>2844</v>
      </c>
      <c r="C12" s="459"/>
      <c r="D12" s="2298" t="s">
        <v>2845</v>
      </c>
      <c r="E12" s="2299"/>
      <c r="F12" s="691"/>
      <c r="G12" s="692"/>
      <c r="H12" s="692"/>
      <c r="I12" s="692"/>
      <c r="J12" s="692"/>
      <c r="K12" s="692"/>
      <c r="L12" s="692"/>
      <c r="M12" s="692"/>
      <c r="N12" s="692"/>
      <c r="O12" s="692"/>
      <c r="P12" s="692"/>
      <c r="Q12" s="692"/>
      <c r="R12" s="692"/>
      <c r="S12" s="692"/>
      <c r="T12" s="692"/>
      <c r="U12" s="692"/>
      <c r="V12" s="692"/>
      <c r="W12" s="692"/>
      <c r="X12" s="693"/>
      <c r="Y12" s="693"/>
      <c r="Z12" s="693"/>
      <c r="AA12" s="693"/>
      <c r="AB12" s="693"/>
      <c r="AC12" s="694"/>
      <c r="AD12" s="694"/>
      <c r="AE12" s="695"/>
      <c r="AF12" s="696"/>
      <c r="AG12" s="694"/>
      <c r="AH12" s="692"/>
      <c r="AI12" s="692"/>
      <c r="AJ12" s="694"/>
      <c r="AK12" s="694"/>
      <c r="AL12" s="694"/>
      <c r="AM12" s="694"/>
      <c r="AN12" s="694"/>
      <c r="AO12" s="693"/>
      <c r="AP12" s="693"/>
      <c r="AQ12" s="693"/>
      <c r="AR12" s="693"/>
      <c r="AS12" s="693"/>
      <c r="AT12" s="694"/>
      <c r="AU12" s="694"/>
      <c r="AV12" s="694"/>
      <c r="AW12" s="694"/>
      <c r="AX12" s="697"/>
    </row>
    <row r="13" spans="2:50" s="154" customFormat="1" ht="57" customHeight="1" x14ac:dyDescent="0.2">
      <c r="B13" s="430" t="s">
        <v>2846</v>
      </c>
      <c r="C13" s="2286" t="s">
        <v>2847</v>
      </c>
      <c r="D13" s="2286"/>
      <c r="E13" s="2287"/>
      <c r="F13" s="691"/>
      <c r="G13" s="694"/>
      <c r="H13" s="694"/>
      <c r="I13" s="694"/>
      <c r="J13" s="694"/>
      <c r="K13" s="692"/>
      <c r="L13" s="692"/>
      <c r="M13" s="692"/>
      <c r="N13" s="692"/>
      <c r="O13" s="692"/>
      <c r="P13" s="692"/>
      <c r="Q13" s="692"/>
      <c r="R13" s="692"/>
      <c r="S13" s="692"/>
      <c r="T13" s="692"/>
      <c r="U13" s="692"/>
      <c r="V13" s="692"/>
      <c r="W13" s="692"/>
      <c r="X13" s="692"/>
      <c r="Y13" s="692"/>
      <c r="Z13" s="692"/>
      <c r="AA13" s="692"/>
      <c r="AB13" s="692"/>
      <c r="AC13" s="694"/>
      <c r="AD13" s="694"/>
      <c r="AE13" s="695"/>
      <c r="AF13" s="696"/>
      <c r="AG13" s="694"/>
      <c r="AH13" s="692"/>
      <c r="AI13" s="692"/>
      <c r="AJ13" s="694"/>
      <c r="AK13" s="694"/>
      <c r="AL13" s="694"/>
      <c r="AM13" s="694"/>
      <c r="AN13" s="694"/>
      <c r="AO13" s="692"/>
      <c r="AP13" s="692"/>
      <c r="AQ13" s="692"/>
      <c r="AR13" s="692"/>
      <c r="AS13" s="692"/>
      <c r="AT13" s="694"/>
      <c r="AU13" s="694"/>
      <c r="AV13" s="694"/>
      <c r="AW13" s="694"/>
      <c r="AX13" s="697"/>
    </row>
    <row r="14" spans="2:50" s="154" customFormat="1" ht="57" customHeight="1" x14ac:dyDescent="0.2">
      <c r="B14" s="430" t="s">
        <v>2848</v>
      </c>
      <c r="C14" s="459"/>
      <c r="D14" s="543" t="s">
        <v>2849</v>
      </c>
      <c r="E14" s="460"/>
      <c r="F14" s="691"/>
      <c r="G14" s="692"/>
      <c r="H14" s="692"/>
      <c r="I14" s="692"/>
      <c r="J14" s="692"/>
      <c r="K14" s="692"/>
      <c r="L14" s="692"/>
      <c r="M14" s="692"/>
      <c r="N14" s="692"/>
      <c r="O14" s="692"/>
      <c r="P14" s="692"/>
      <c r="Q14" s="692"/>
      <c r="R14" s="692"/>
      <c r="S14" s="692"/>
      <c r="T14" s="692"/>
      <c r="U14" s="693"/>
      <c r="V14" s="692"/>
      <c r="W14" s="692"/>
      <c r="X14" s="692"/>
      <c r="Y14" s="692"/>
      <c r="Z14" s="692"/>
      <c r="AA14" s="692"/>
      <c r="AB14" s="692"/>
      <c r="AC14" s="694"/>
      <c r="AD14" s="694"/>
      <c r="AE14" s="698"/>
      <c r="AF14" s="692"/>
      <c r="AG14" s="694"/>
      <c r="AH14" s="692"/>
      <c r="AI14" s="692"/>
      <c r="AJ14" s="694"/>
      <c r="AK14" s="694"/>
      <c r="AL14" s="693"/>
      <c r="AM14" s="694"/>
      <c r="AN14" s="694"/>
      <c r="AO14" s="692"/>
      <c r="AP14" s="692"/>
      <c r="AQ14" s="692"/>
      <c r="AR14" s="692"/>
      <c r="AS14" s="692"/>
      <c r="AT14" s="694"/>
      <c r="AU14" s="694"/>
      <c r="AV14" s="694"/>
      <c r="AW14" s="694"/>
      <c r="AX14" s="697"/>
    </row>
    <row r="15" spans="2:50" s="154" customFormat="1" ht="57" customHeight="1" x14ac:dyDescent="0.2">
      <c r="B15" s="430" t="s">
        <v>2850</v>
      </c>
      <c r="C15" s="459"/>
      <c r="D15" s="2298" t="s">
        <v>2851</v>
      </c>
      <c r="E15" s="2299"/>
      <c r="F15" s="691"/>
      <c r="G15" s="692"/>
      <c r="H15" s="692"/>
      <c r="I15" s="692"/>
      <c r="J15" s="692"/>
      <c r="K15" s="692"/>
      <c r="L15" s="692"/>
      <c r="M15" s="692"/>
      <c r="N15" s="692"/>
      <c r="O15" s="692"/>
      <c r="P15" s="692"/>
      <c r="Q15" s="692"/>
      <c r="R15" s="692"/>
      <c r="S15" s="692"/>
      <c r="T15" s="692"/>
      <c r="U15" s="692"/>
      <c r="V15" s="692"/>
      <c r="W15" s="692"/>
      <c r="X15" s="693"/>
      <c r="Y15" s="693"/>
      <c r="Z15" s="693"/>
      <c r="AA15" s="693"/>
      <c r="AB15" s="693"/>
      <c r="AC15" s="694"/>
      <c r="AD15" s="694"/>
      <c r="AE15" s="698"/>
      <c r="AF15" s="692"/>
      <c r="AG15" s="694"/>
      <c r="AH15" s="692"/>
      <c r="AI15" s="692"/>
      <c r="AJ15" s="694"/>
      <c r="AK15" s="694"/>
      <c r="AL15" s="694"/>
      <c r="AM15" s="694"/>
      <c r="AN15" s="694"/>
      <c r="AO15" s="693"/>
      <c r="AP15" s="693"/>
      <c r="AQ15" s="693"/>
      <c r="AR15" s="693"/>
      <c r="AS15" s="693"/>
      <c r="AT15" s="694"/>
      <c r="AU15" s="694"/>
      <c r="AV15" s="694"/>
      <c r="AW15" s="694"/>
      <c r="AX15" s="697"/>
    </row>
    <row r="16" spans="2:50" s="154" customFormat="1" ht="57" customHeight="1" x14ac:dyDescent="0.2">
      <c r="B16" s="430" t="s">
        <v>2852</v>
      </c>
      <c r="C16" s="2286" t="s">
        <v>2853</v>
      </c>
      <c r="D16" s="2286"/>
      <c r="E16" s="2287"/>
      <c r="F16" s="699"/>
      <c r="G16" s="694"/>
      <c r="H16" s="694"/>
      <c r="I16" s="694"/>
      <c r="J16" s="694"/>
      <c r="K16" s="694"/>
      <c r="L16" s="692"/>
      <c r="M16" s="692"/>
      <c r="N16" s="692"/>
      <c r="O16" s="692"/>
      <c r="P16" s="692"/>
      <c r="Q16" s="692"/>
      <c r="R16" s="692"/>
      <c r="S16" s="692"/>
      <c r="T16" s="692"/>
      <c r="U16" s="692"/>
      <c r="V16" s="692"/>
      <c r="W16" s="692"/>
      <c r="X16" s="692"/>
      <c r="Y16" s="692"/>
      <c r="Z16" s="692"/>
      <c r="AA16" s="694"/>
      <c r="AB16" s="694"/>
      <c r="AC16" s="694"/>
      <c r="AD16" s="694"/>
      <c r="AE16" s="698"/>
      <c r="AF16" s="692"/>
      <c r="AG16" s="694"/>
      <c r="AH16" s="692"/>
      <c r="AI16" s="692"/>
      <c r="AJ16" s="694"/>
      <c r="AK16" s="694"/>
      <c r="AL16" s="694"/>
      <c r="AM16" s="694"/>
      <c r="AN16" s="694"/>
      <c r="AO16" s="692"/>
      <c r="AP16" s="692"/>
      <c r="AQ16" s="692"/>
      <c r="AR16" s="694"/>
      <c r="AS16" s="694"/>
      <c r="AT16" s="694"/>
      <c r="AU16" s="694"/>
      <c r="AV16" s="694"/>
      <c r="AW16" s="694"/>
      <c r="AX16" s="697"/>
    </row>
    <row r="17" spans="2:50" s="154" customFormat="1" ht="57" customHeight="1" x14ac:dyDescent="0.2">
      <c r="B17" s="430" t="s">
        <v>2854</v>
      </c>
      <c r="C17" s="459"/>
      <c r="D17" s="543" t="s">
        <v>2855</v>
      </c>
      <c r="E17" s="460"/>
      <c r="F17" s="699"/>
      <c r="G17" s="694"/>
      <c r="H17" s="694"/>
      <c r="I17" s="694"/>
      <c r="J17" s="694"/>
      <c r="K17" s="694"/>
      <c r="L17" s="692"/>
      <c r="M17" s="692"/>
      <c r="N17" s="692"/>
      <c r="O17" s="692"/>
      <c r="P17" s="692"/>
      <c r="Q17" s="692"/>
      <c r="R17" s="692"/>
      <c r="S17" s="692"/>
      <c r="T17" s="692"/>
      <c r="U17" s="693"/>
      <c r="V17" s="692"/>
      <c r="W17" s="692"/>
      <c r="X17" s="692"/>
      <c r="Y17" s="692"/>
      <c r="Z17" s="692"/>
      <c r="AA17" s="694"/>
      <c r="AB17" s="694"/>
      <c r="AC17" s="694"/>
      <c r="AD17" s="694"/>
      <c r="AE17" s="698"/>
      <c r="AF17" s="692"/>
      <c r="AG17" s="694"/>
      <c r="AH17" s="692"/>
      <c r="AI17" s="692"/>
      <c r="AJ17" s="694"/>
      <c r="AK17" s="694"/>
      <c r="AL17" s="693"/>
      <c r="AM17" s="694"/>
      <c r="AN17" s="694"/>
      <c r="AO17" s="692"/>
      <c r="AP17" s="692"/>
      <c r="AQ17" s="692"/>
      <c r="AR17" s="694"/>
      <c r="AS17" s="694"/>
      <c r="AT17" s="694"/>
      <c r="AU17" s="694"/>
      <c r="AV17" s="694"/>
      <c r="AW17" s="694"/>
      <c r="AX17" s="697"/>
    </row>
    <row r="18" spans="2:50" s="154" customFormat="1" ht="57" customHeight="1" x14ac:dyDescent="0.2">
      <c r="B18" s="430" t="s">
        <v>2856</v>
      </c>
      <c r="C18" s="461"/>
      <c r="D18" s="2284" t="s">
        <v>2857</v>
      </c>
      <c r="E18" s="2285"/>
      <c r="F18" s="700"/>
      <c r="G18" s="701"/>
      <c r="H18" s="701"/>
      <c r="I18" s="701"/>
      <c r="J18" s="701"/>
      <c r="K18" s="701"/>
      <c r="L18" s="701"/>
      <c r="M18" s="701"/>
      <c r="N18" s="701"/>
      <c r="O18" s="701"/>
      <c r="P18" s="701"/>
      <c r="Q18" s="701"/>
      <c r="R18" s="701"/>
      <c r="S18" s="701"/>
      <c r="T18" s="701"/>
      <c r="U18" s="701"/>
      <c r="V18" s="702"/>
      <c r="W18" s="702"/>
      <c r="X18" s="703"/>
      <c r="Y18" s="703"/>
      <c r="Z18" s="703"/>
      <c r="AA18" s="703"/>
      <c r="AB18" s="703"/>
      <c r="AC18" s="701"/>
      <c r="AD18" s="701"/>
      <c r="AE18" s="704"/>
      <c r="AF18" s="702"/>
      <c r="AG18" s="701"/>
      <c r="AH18" s="702"/>
      <c r="AI18" s="702"/>
      <c r="AJ18" s="701"/>
      <c r="AK18" s="701"/>
      <c r="AL18" s="701"/>
      <c r="AM18" s="701"/>
      <c r="AN18" s="701"/>
      <c r="AO18" s="705"/>
      <c r="AP18" s="705"/>
      <c r="AQ18" s="705"/>
      <c r="AR18" s="705"/>
      <c r="AS18" s="705"/>
      <c r="AT18" s="701"/>
      <c r="AU18" s="701"/>
      <c r="AV18" s="701"/>
      <c r="AW18" s="701"/>
      <c r="AX18" s="706"/>
    </row>
    <row r="19" spans="2:50" s="161" customFormat="1" ht="57" customHeight="1" x14ac:dyDescent="0.3">
      <c r="B19" s="429"/>
      <c r="C19" s="2278" t="s">
        <v>2858</v>
      </c>
      <c r="D19" s="2279"/>
      <c r="E19" s="2279"/>
      <c r="F19" s="2279"/>
      <c r="G19" s="2279"/>
      <c r="H19" s="2279"/>
      <c r="I19" s="2279"/>
      <c r="J19" s="2279"/>
      <c r="K19" s="2279"/>
      <c r="L19" s="2279"/>
      <c r="M19" s="2279"/>
      <c r="N19" s="2279"/>
      <c r="O19" s="2279"/>
      <c r="P19" s="2279"/>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80"/>
    </row>
    <row r="20" spans="2:50" s="154" customFormat="1" ht="57" customHeight="1" x14ac:dyDescent="0.2">
      <c r="B20" s="430" t="s">
        <v>2859</v>
      </c>
      <c r="C20" s="462"/>
      <c r="D20" s="2294" t="s">
        <v>2860</v>
      </c>
      <c r="E20" s="2295"/>
      <c r="F20" s="685"/>
      <c r="G20" s="687"/>
      <c r="H20" s="687"/>
      <c r="I20" s="687"/>
      <c r="J20" s="687"/>
      <c r="K20" s="687"/>
      <c r="L20" s="687"/>
      <c r="M20" s="687"/>
      <c r="N20" s="687"/>
      <c r="O20" s="687"/>
      <c r="P20" s="687"/>
      <c r="Q20" s="687"/>
      <c r="R20" s="687"/>
      <c r="S20" s="687"/>
      <c r="T20" s="687"/>
      <c r="U20" s="687"/>
      <c r="V20" s="687"/>
      <c r="W20" s="687"/>
      <c r="X20" s="707"/>
      <c r="Y20" s="707"/>
      <c r="Z20" s="707"/>
      <c r="AA20" s="707"/>
      <c r="AB20" s="707"/>
      <c r="AC20" s="687"/>
      <c r="AD20" s="687"/>
      <c r="AE20" s="708"/>
      <c r="AF20" s="687"/>
      <c r="AG20" s="687"/>
      <c r="AH20" s="687"/>
      <c r="AI20" s="687"/>
      <c r="AJ20" s="687"/>
      <c r="AK20" s="687"/>
      <c r="AL20" s="687"/>
      <c r="AM20" s="687"/>
      <c r="AN20" s="687"/>
      <c r="AO20" s="709"/>
      <c r="AP20" s="709"/>
      <c r="AQ20" s="709"/>
      <c r="AR20" s="709"/>
      <c r="AS20" s="709"/>
      <c r="AT20" s="687"/>
      <c r="AU20" s="687"/>
      <c r="AV20" s="687"/>
      <c r="AW20" s="687"/>
      <c r="AX20" s="690"/>
    </row>
    <row r="21" spans="2:50" s="154" customFormat="1" ht="57" customHeight="1" thickBot="1" x14ac:dyDescent="0.25">
      <c r="B21" s="431" t="s">
        <v>2861</v>
      </c>
      <c r="C21" s="463"/>
      <c r="D21" s="2296" t="s">
        <v>2862</v>
      </c>
      <c r="E21" s="2297"/>
      <c r="F21" s="710"/>
      <c r="G21" s="711"/>
      <c r="H21" s="711"/>
      <c r="I21" s="711"/>
      <c r="J21" s="711"/>
      <c r="K21" s="711"/>
      <c r="L21" s="711"/>
      <c r="M21" s="711"/>
      <c r="N21" s="711"/>
      <c r="O21" s="711"/>
      <c r="P21" s="711"/>
      <c r="Q21" s="711"/>
      <c r="R21" s="711"/>
      <c r="S21" s="711"/>
      <c r="T21" s="711"/>
      <c r="U21" s="711"/>
      <c r="V21" s="711"/>
      <c r="W21" s="711"/>
      <c r="X21" s="712"/>
      <c r="Y21" s="712"/>
      <c r="Z21" s="712"/>
      <c r="AA21" s="712"/>
      <c r="AB21" s="712"/>
      <c r="AC21" s="711"/>
      <c r="AD21" s="711"/>
      <c r="AE21" s="713"/>
      <c r="AF21" s="711"/>
      <c r="AG21" s="711"/>
      <c r="AH21" s="711"/>
      <c r="AI21" s="711"/>
      <c r="AJ21" s="711"/>
      <c r="AK21" s="711"/>
      <c r="AL21" s="711"/>
      <c r="AM21" s="711"/>
      <c r="AN21" s="711"/>
      <c r="AO21" s="714"/>
      <c r="AP21" s="714"/>
      <c r="AQ21" s="714"/>
      <c r="AR21" s="714"/>
      <c r="AS21" s="714"/>
      <c r="AT21" s="711"/>
      <c r="AU21" s="711"/>
      <c r="AV21" s="711"/>
      <c r="AW21" s="711"/>
      <c r="AX21" s="715"/>
    </row>
  </sheetData>
  <mergeCells count="30">
    <mergeCell ref="D20:E20"/>
    <mergeCell ref="D21:E21"/>
    <mergeCell ref="D15:E15"/>
    <mergeCell ref="B4:E7"/>
    <mergeCell ref="F4:G5"/>
    <mergeCell ref="C9:AX9"/>
    <mergeCell ref="C10:E10"/>
    <mergeCell ref="D12:E12"/>
    <mergeCell ref="AM5:AN5"/>
    <mergeCell ref="AT4:AU5"/>
    <mergeCell ref="AV4:AW5"/>
    <mergeCell ref="AX4:AX6"/>
    <mergeCell ref="L5:U5"/>
    <mergeCell ref="X5:Y5"/>
    <mergeCell ref="Z5:Z6"/>
    <mergeCell ref="AA5:AB5"/>
    <mergeCell ref="AC5:AL5"/>
    <mergeCell ref="AC4:AS4"/>
    <mergeCell ref="C19:AX19"/>
    <mergeCell ref="H4:I5"/>
    <mergeCell ref="J4:K5"/>
    <mergeCell ref="L4:AB4"/>
    <mergeCell ref="V5:W5"/>
    <mergeCell ref="D18:E18"/>
    <mergeCell ref="C13:E13"/>
    <mergeCell ref="AO5:AP5"/>
    <mergeCell ref="AQ5:AQ6"/>
    <mergeCell ref="AR5:AS5"/>
    <mergeCell ref="C16:E16"/>
    <mergeCell ref="C8:E8"/>
  </mergeCells>
  <printOptions horizontalCentered="1"/>
  <pageMargins left="0.27559055118110237" right="0.15748031496062992" top="0.78740157480314965" bottom="0.78740157480314965" header="0.31496062992125984" footer="0.31496062992125984"/>
  <pageSetup paperSize="9" scale="29" fitToWidth="2" orientation="landscape" r:id="rId1"/>
  <headerFooter>
    <oddHeader>&amp;CFR
ANNEXE I</oddHeader>
    <oddFooter>&amp;CPage &amp;P sur &amp;N</oddFooter>
  </headerFooter>
  <colBreaks count="1" manualBreakCount="1">
    <brk id="28" max="1048575" man="1"/>
  </colBreaks>
  <ignoredErrors>
    <ignoredError sqref="B8:B21 F7:AX7"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B1:M22"/>
  <sheetViews>
    <sheetView showGridLines="0" view="pageLayout" topLeftCell="A2" zoomScale="55" zoomScaleNormal="90" zoomScalePageLayoutView="55" workbookViewId="0">
      <selection activeCell="M12" sqref="M12"/>
    </sheetView>
  </sheetViews>
  <sheetFormatPr defaultColWidth="11.44140625" defaultRowHeight="12.6" x14ac:dyDescent="0.2"/>
  <cols>
    <col min="1" max="1" width="3" style="163" customWidth="1"/>
    <col min="2" max="2" width="15.44140625" style="162" customWidth="1"/>
    <col min="3" max="3" width="5.88671875" style="163" customWidth="1"/>
    <col min="4" max="4" width="6.6640625" style="163" customWidth="1"/>
    <col min="5" max="5" width="38" style="163" customWidth="1"/>
    <col min="6" max="6" width="91.6640625" style="163" customWidth="1"/>
    <col min="7" max="11" width="17.109375" style="162" customWidth="1"/>
    <col min="12" max="12" width="17.109375" style="163" customWidth="1"/>
    <col min="13" max="13" width="22.5546875" style="163" customWidth="1"/>
    <col min="14" max="16384" width="11.44140625" style="163"/>
  </cols>
  <sheetData>
    <row r="1" spans="2:13" ht="13.5" thickBot="1" x14ac:dyDescent="0.25"/>
    <row r="2" spans="2:13" s="1547" customFormat="1" ht="31.5" customHeight="1" thickBot="1" x14ac:dyDescent="0.35">
      <c r="B2" s="2321" t="s">
        <v>2863</v>
      </c>
      <c r="C2" s="2322"/>
      <c r="D2" s="2322"/>
      <c r="E2" s="2322"/>
      <c r="F2" s="2322"/>
      <c r="G2" s="2322"/>
      <c r="H2" s="2322"/>
      <c r="I2" s="2322"/>
      <c r="J2" s="2322"/>
      <c r="K2" s="2322"/>
      <c r="L2" s="2322"/>
      <c r="M2" s="2323"/>
    </row>
    <row r="3" spans="2:13" s="405" customFormat="1" ht="12" customHeight="1" x14ac:dyDescent="0.25">
      <c r="B3" s="406"/>
      <c r="C3" s="406"/>
      <c r="D3" s="406"/>
      <c r="E3" s="406"/>
      <c r="F3" s="406"/>
      <c r="G3" s="406"/>
      <c r="H3" s="406"/>
      <c r="I3" s="406"/>
      <c r="J3" s="406"/>
      <c r="K3" s="406"/>
      <c r="L3" s="406"/>
      <c r="M3" s="406"/>
    </row>
    <row r="4" spans="2:13" s="169" customFormat="1" ht="28.5" customHeight="1" x14ac:dyDescent="0.3">
      <c r="B4" s="164"/>
      <c r="C4" s="165" t="s">
        <v>2864</v>
      </c>
      <c r="D4" s="166"/>
      <c r="E4" s="167"/>
      <c r="F4" s="407"/>
      <c r="G4" s="168"/>
      <c r="H4" s="168"/>
      <c r="I4" s="164"/>
      <c r="J4" s="164"/>
      <c r="K4" s="164"/>
    </row>
    <row r="5" spans="2:13" s="169" customFormat="1" ht="9" customHeight="1" thickBot="1" x14ac:dyDescent="0.3">
      <c r="B5" s="164"/>
      <c r="C5" s="170"/>
      <c r="D5" s="166"/>
      <c r="E5" s="167"/>
      <c r="F5" s="167"/>
      <c r="G5" s="168"/>
      <c r="H5" s="168"/>
      <c r="I5" s="164"/>
      <c r="J5" s="164"/>
      <c r="K5" s="164"/>
    </row>
    <row r="6" spans="2:13" ht="24" customHeight="1" x14ac:dyDescent="0.3">
      <c r="B6" s="546"/>
      <c r="C6" s="397"/>
      <c r="D6" s="397"/>
      <c r="E6" s="397"/>
      <c r="F6" s="422"/>
      <c r="G6" s="408"/>
      <c r="H6" s="2327" t="s">
        <v>2865</v>
      </c>
      <c r="I6" s="2328"/>
      <c r="J6" s="2328"/>
      <c r="K6" s="2329"/>
      <c r="L6" s="2330" t="s">
        <v>2866</v>
      </c>
      <c r="M6" s="2333" t="s">
        <v>2867</v>
      </c>
    </row>
    <row r="7" spans="2:13" ht="24" customHeight="1" x14ac:dyDescent="0.3">
      <c r="B7" s="416"/>
      <c r="C7" s="398"/>
      <c r="D7" s="398"/>
      <c r="E7" s="398"/>
      <c r="F7" s="417"/>
      <c r="G7" s="2336" t="s">
        <v>2868</v>
      </c>
      <c r="H7" s="2337"/>
      <c r="I7" s="2338" t="s">
        <v>2869</v>
      </c>
      <c r="J7" s="2339"/>
      <c r="K7" s="2339" t="s">
        <v>2870</v>
      </c>
      <c r="L7" s="2331"/>
      <c r="M7" s="2334"/>
    </row>
    <row r="8" spans="2:13" ht="63.75" customHeight="1" x14ac:dyDescent="0.3">
      <c r="B8" s="416"/>
      <c r="C8" s="398"/>
      <c r="D8" s="398"/>
      <c r="E8" s="398"/>
      <c r="F8" s="417"/>
      <c r="G8" s="2319" t="s">
        <v>2871</v>
      </c>
      <c r="H8" s="2319" t="s">
        <v>2872</v>
      </c>
      <c r="I8" s="2340"/>
      <c r="J8" s="2341"/>
      <c r="K8" s="2342"/>
      <c r="L8" s="2331"/>
      <c r="M8" s="2334"/>
    </row>
    <row r="9" spans="2:13" ht="63" customHeight="1" x14ac:dyDescent="0.3">
      <c r="B9" s="416"/>
      <c r="C9" s="398"/>
      <c r="D9" s="398"/>
      <c r="E9" s="398"/>
      <c r="F9" s="417"/>
      <c r="G9" s="2320"/>
      <c r="H9" s="2320"/>
      <c r="I9" s="409" t="s">
        <v>2873</v>
      </c>
      <c r="J9" s="409" t="s">
        <v>2874</v>
      </c>
      <c r="K9" s="2341"/>
      <c r="L9" s="2332"/>
      <c r="M9" s="2335"/>
    </row>
    <row r="10" spans="2:13" s="175" customFormat="1" ht="25.5" customHeight="1" x14ac:dyDescent="0.25">
      <c r="B10" s="418"/>
      <c r="C10" s="419"/>
      <c r="D10" s="419"/>
      <c r="E10" s="419"/>
      <c r="F10" s="420"/>
      <c r="G10" s="410" t="s">
        <v>2875</v>
      </c>
      <c r="H10" s="410" t="s">
        <v>2876</v>
      </c>
      <c r="I10" s="410" t="s">
        <v>2877</v>
      </c>
      <c r="J10" s="410" t="s">
        <v>2878</v>
      </c>
      <c r="K10" s="410" t="s">
        <v>2879</v>
      </c>
      <c r="L10" s="389" t="s">
        <v>2880</v>
      </c>
      <c r="M10" s="411" t="s">
        <v>2881</v>
      </c>
    </row>
    <row r="11" spans="2:13" ht="30" customHeight="1" x14ac:dyDescent="0.2">
      <c r="B11" s="412" t="s">
        <v>2882</v>
      </c>
      <c r="C11" s="447" t="s">
        <v>2883</v>
      </c>
      <c r="D11" s="448"/>
      <c r="E11" s="448"/>
      <c r="F11" s="449"/>
      <c r="G11" s="662"/>
      <c r="H11" s="655"/>
      <c r="I11" s="655"/>
      <c r="J11" s="655"/>
      <c r="K11" s="655"/>
      <c r="L11" s="633"/>
      <c r="M11" s="634" t="s">
        <v>3242</v>
      </c>
    </row>
    <row r="12" spans="2:13" ht="30" customHeight="1" x14ac:dyDescent="0.2">
      <c r="B12" s="412" t="s">
        <v>2884</v>
      </c>
      <c r="C12" s="450" t="s">
        <v>2885</v>
      </c>
      <c r="D12" s="448"/>
      <c r="E12" s="448"/>
      <c r="F12" s="449"/>
      <c r="G12" s="663"/>
      <c r="H12" s="635"/>
      <c r="I12" s="635"/>
      <c r="J12" s="635"/>
      <c r="K12" s="636"/>
      <c r="L12" s="636"/>
      <c r="M12" s="638"/>
    </row>
    <row r="13" spans="2:13" ht="30" customHeight="1" x14ac:dyDescent="0.2">
      <c r="B13" s="412" t="s">
        <v>2886</v>
      </c>
      <c r="C13" s="2324" t="s">
        <v>2887</v>
      </c>
      <c r="D13" s="2325"/>
      <c r="E13" s="2325"/>
      <c r="F13" s="2326"/>
      <c r="G13" s="663"/>
      <c r="H13" s="635"/>
      <c r="I13" s="639"/>
      <c r="J13" s="639"/>
      <c r="K13" s="637"/>
      <c r="L13" s="637"/>
      <c r="M13" s="638"/>
    </row>
    <row r="14" spans="2:13" ht="30" customHeight="1" x14ac:dyDescent="0.2">
      <c r="B14" s="412" t="s">
        <v>2888</v>
      </c>
      <c r="C14" s="2324" t="s">
        <v>2889</v>
      </c>
      <c r="D14" s="2325"/>
      <c r="E14" s="2325"/>
      <c r="F14" s="2326"/>
      <c r="G14" s="663"/>
      <c r="H14" s="635"/>
      <c r="I14" s="639"/>
      <c r="J14" s="639"/>
      <c r="K14" s="637"/>
      <c r="L14" s="637"/>
      <c r="M14" s="638"/>
    </row>
    <row r="15" spans="2:13" ht="30" customHeight="1" x14ac:dyDescent="0.2">
      <c r="B15" s="412" t="s">
        <v>2890</v>
      </c>
      <c r="C15" s="544" t="s">
        <v>2891</v>
      </c>
      <c r="D15" s="451"/>
      <c r="E15" s="448"/>
      <c r="F15" s="449"/>
      <c r="G15" s="664"/>
      <c r="H15" s="665"/>
      <c r="I15" s="665"/>
      <c r="J15" s="665"/>
      <c r="K15" s="639"/>
      <c r="L15" s="637"/>
      <c r="M15" s="638"/>
    </row>
    <row r="16" spans="2:13" ht="30" customHeight="1" x14ac:dyDescent="0.2">
      <c r="B16" s="412" t="s">
        <v>2892</v>
      </c>
      <c r="C16" s="544" t="s">
        <v>2893</v>
      </c>
      <c r="D16" s="451"/>
      <c r="E16" s="448"/>
      <c r="F16" s="449"/>
      <c r="G16" s="663"/>
      <c r="H16" s="635"/>
      <c r="I16" s="635"/>
      <c r="J16" s="635"/>
      <c r="K16" s="639"/>
      <c r="L16" s="637"/>
      <c r="M16" s="638"/>
    </row>
    <row r="17" spans="2:13" ht="30" customHeight="1" x14ac:dyDescent="0.2">
      <c r="B17" s="412" t="s">
        <v>2894</v>
      </c>
      <c r="C17" s="450" t="s">
        <v>2895</v>
      </c>
      <c r="D17" s="448"/>
      <c r="E17" s="448"/>
      <c r="F17" s="449"/>
      <c r="G17" s="663"/>
      <c r="H17" s="635"/>
      <c r="I17" s="635"/>
      <c r="J17" s="635"/>
      <c r="K17" s="635"/>
      <c r="L17" s="636"/>
      <c r="M17" s="638"/>
    </row>
    <row r="18" spans="2:13" ht="30" customHeight="1" x14ac:dyDescent="0.2">
      <c r="B18" s="413" t="s">
        <v>2896</v>
      </c>
      <c r="C18" s="450" t="s">
        <v>2897</v>
      </c>
      <c r="D18" s="448"/>
      <c r="E18" s="448"/>
      <c r="F18" s="449"/>
      <c r="G18" s="667"/>
      <c r="H18" s="668"/>
      <c r="I18" s="669"/>
      <c r="J18" s="669"/>
      <c r="K18" s="669"/>
      <c r="L18" s="666"/>
      <c r="M18" s="638"/>
    </row>
    <row r="19" spans="2:13" s="122" customFormat="1" ht="30" customHeight="1" x14ac:dyDescent="0.2">
      <c r="B19" s="414" t="s">
        <v>2898</v>
      </c>
      <c r="C19" s="452" t="s">
        <v>2899</v>
      </c>
      <c r="D19" s="453"/>
      <c r="E19" s="454"/>
      <c r="F19" s="455"/>
      <c r="G19" s="667"/>
      <c r="H19" s="668"/>
      <c r="I19" s="669"/>
      <c r="J19" s="669"/>
      <c r="K19" s="669"/>
      <c r="L19" s="670"/>
      <c r="M19" s="671"/>
    </row>
    <row r="20" spans="2:13" s="122" customFormat="1" ht="30" customHeight="1" x14ac:dyDescent="0.2">
      <c r="B20" s="414" t="s">
        <v>2900</v>
      </c>
      <c r="C20" s="452" t="s">
        <v>2901</v>
      </c>
      <c r="D20" s="453"/>
      <c r="E20" s="454"/>
      <c r="F20" s="455"/>
      <c r="G20" s="667"/>
      <c r="H20" s="668"/>
      <c r="I20" s="669"/>
      <c r="J20" s="669"/>
      <c r="K20" s="669"/>
      <c r="L20" s="670"/>
      <c r="M20" s="671"/>
    </row>
    <row r="21" spans="2:13" s="122" customFormat="1" ht="30" customHeight="1" x14ac:dyDescent="0.2">
      <c r="B21" s="414" t="s">
        <v>2902</v>
      </c>
      <c r="C21" s="452" t="s">
        <v>2903</v>
      </c>
      <c r="D21" s="453"/>
      <c r="E21" s="454"/>
      <c r="F21" s="455"/>
      <c r="G21" s="667"/>
      <c r="H21" s="668"/>
      <c r="I21" s="669"/>
      <c r="J21" s="669"/>
      <c r="K21" s="669"/>
      <c r="L21" s="670"/>
      <c r="M21" s="671"/>
    </row>
    <row r="22" spans="2:13" s="122" customFormat="1" ht="30" customHeight="1" thickBot="1" x14ac:dyDescent="0.25">
      <c r="B22" s="415" t="s">
        <v>2904</v>
      </c>
      <c r="C22" s="456" t="s">
        <v>2905</v>
      </c>
      <c r="D22" s="457"/>
      <c r="E22" s="457"/>
      <c r="F22" s="458"/>
      <c r="G22" s="672"/>
      <c r="H22" s="673"/>
      <c r="I22" s="674"/>
      <c r="J22" s="674"/>
      <c r="K22" s="674"/>
      <c r="L22" s="675"/>
      <c r="M22" s="1545"/>
    </row>
  </sheetData>
  <mergeCells count="11">
    <mergeCell ref="H8:H9"/>
    <mergeCell ref="B2:M2"/>
    <mergeCell ref="C13:F13"/>
    <mergeCell ref="C14:F14"/>
    <mergeCell ref="H6:K6"/>
    <mergeCell ref="L6:L9"/>
    <mergeCell ref="M6:M9"/>
    <mergeCell ref="G7:H7"/>
    <mergeCell ref="I7:J8"/>
    <mergeCell ref="K7:K9"/>
    <mergeCell ref="G8:G9"/>
  </mergeCells>
  <printOptions horizontalCentered="1"/>
  <pageMargins left="0.27559055118110237" right="0.15748031496062992" top="0.78740157480314965" bottom="0.78740157480314965" header="0.31496062992125984" footer="0.31496062992125984"/>
  <pageSetup paperSize="9" scale="48" orientation="landscape" r:id="rId1"/>
  <headerFooter>
    <oddHeader>&amp;CFR
ANNEXE I</oddHeader>
    <oddFooter>&amp;C&amp;P</oddFooter>
  </headerFooter>
  <ignoredErrors>
    <ignoredError sqref="L10:M10 G10:K10 B11:B17 B18:B22"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O69"/>
  <sheetViews>
    <sheetView showGridLines="0" zoomScale="25" zoomScaleNormal="25" zoomScalePageLayoutView="70" workbookViewId="0">
      <selection activeCell="N43" sqref="N43"/>
    </sheetView>
  </sheetViews>
  <sheetFormatPr defaultColWidth="11.44140625" defaultRowHeight="12.6" x14ac:dyDescent="0.2"/>
  <cols>
    <col min="1" max="1" width="3.44140625" style="162" customWidth="1"/>
    <col min="2" max="2" width="8.109375" style="162" customWidth="1"/>
    <col min="3" max="3" width="5.5546875" style="163" customWidth="1"/>
    <col min="4" max="4" width="21.44140625" style="163" customWidth="1"/>
    <col min="5" max="5" width="11.44140625" style="163"/>
    <col min="6" max="6" width="104.33203125" style="163" customWidth="1"/>
    <col min="7" max="7" width="16.109375" style="163" customWidth="1"/>
    <col min="8" max="8" width="18.44140625" style="163" customWidth="1"/>
    <col min="9" max="10" width="16.109375" style="163" customWidth="1"/>
    <col min="11" max="11" width="16.5546875" style="163" customWidth="1"/>
    <col min="12" max="12" width="18.109375" style="163" customWidth="1"/>
    <col min="13" max="13" width="21.5546875" style="163" customWidth="1"/>
    <col min="14" max="14" width="22" style="163" customWidth="1"/>
    <col min="15" max="15" width="22.33203125" style="163" customWidth="1"/>
    <col min="16" max="16384" width="11.44140625" style="163"/>
  </cols>
  <sheetData>
    <row r="1" spans="1:15" ht="17.25" customHeight="1" thickBot="1" x14ac:dyDescent="0.25"/>
    <row r="2" spans="1:15" s="386" customFormat="1" ht="33" customHeight="1" thickBot="1" x14ac:dyDescent="0.5">
      <c r="A2" s="385"/>
      <c r="B2" s="2343" t="s">
        <v>2906</v>
      </c>
      <c r="C2" s="2344"/>
      <c r="D2" s="2344"/>
      <c r="E2" s="2344"/>
      <c r="F2" s="2344"/>
      <c r="G2" s="2344"/>
      <c r="H2" s="2344"/>
      <c r="I2" s="2344"/>
      <c r="J2" s="2344"/>
      <c r="K2" s="2344"/>
      <c r="L2" s="2344"/>
      <c r="M2" s="2344"/>
      <c r="N2" s="2344"/>
      <c r="O2" s="2345"/>
    </row>
    <row r="3" spans="1:15" ht="15.75" thickBot="1" x14ac:dyDescent="0.25">
      <c r="C3" s="171"/>
      <c r="D3" s="172"/>
      <c r="E3" s="173"/>
      <c r="F3" s="173"/>
      <c r="G3" s="173"/>
      <c r="H3" s="173"/>
      <c r="I3" s="174"/>
      <c r="J3" s="172"/>
      <c r="K3" s="172"/>
      <c r="L3" s="172"/>
      <c r="M3" s="172"/>
      <c r="N3" s="172"/>
      <c r="O3" s="172"/>
    </row>
    <row r="4" spans="1:15" ht="21.75" customHeight="1" x14ac:dyDescent="0.3">
      <c r="A4" s="380"/>
      <c r="B4" s="2346"/>
      <c r="C4" s="2347"/>
      <c r="D4" s="397"/>
      <c r="E4" s="397"/>
      <c r="F4" s="397"/>
      <c r="G4" s="2350" t="s">
        <v>2907</v>
      </c>
      <c r="H4" s="2351"/>
      <c r="I4" s="2350" t="s">
        <v>2908</v>
      </c>
      <c r="J4" s="2356"/>
      <c r="K4" s="2359" t="s">
        <v>2909</v>
      </c>
      <c r="L4" s="2360"/>
      <c r="M4" s="2360"/>
      <c r="N4" s="2330" t="s">
        <v>2910</v>
      </c>
      <c r="O4" s="2371" t="s">
        <v>2911</v>
      </c>
    </row>
    <row r="5" spans="1:15" ht="15" customHeight="1" x14ac:dyDescent="0.3">
      <c r="A5" s="380"/>
      <c r="B5" s="2348"/>
      <c r="C5" s="2349"/>
      <c r="D5" s="398"/>
      <c r="E5" s="398"/>
      <c r="F5" s="398"/>
      <c r="G5" s="2352"/>
      <c r="H5" s="2353"/>
      <c r="I5" s="2352"/>
      <c r="J5" s="2357"/>
      <c r="K5" s="2361"/>
      <c r="L5" s="2362"/>
      <c r="M5" s="2362"/>
      <c r="N5" s="2331"/>
      <c r="O5" s="2372"/>
    </row>
    <row r="6" spans="1:15" ht="74.25" customHeight="1" x14ac:dyDescent="0.3">
      <c r="A6" s="380"/>
      <c r="B6" s="2348"/>
      <c r="C6" s="2349"/>
      <c r="D6" s="398"/>
      <c r="E6" s="398"/>
      <c r="F6" s="398"/>
      <c r="G6" s="2354"/>
      <c r="H6" s="2355"/>
      <c r="I6" s="2354"/>
      <c r="J6" s="2358"/>
      <c r="K6" s="2363"/>
      <c r="L6" s="2364"/>
      <c r="M6" s="2364"/>
      <c r="N6" s="2331"/>
      <c r="O6" s="2372"/>
    </row>
    <row r="7" spans="1:15" ht="51" customHeight="1" x14ac:dyDescent="0.3">
      <c r="A7" s="380"/>
      <c r="B7" s="2348"/>
      <c r="C7" s="2349"/>
      <c r="D7" s="398"/>
      <c r="E7" s="398"/>
      <c r="F7" s="398"/>
      <c r="G7" s="387" t="s">
        <v>2912</v>
      </c>
      <c r="H7" s="387" t="s">
        <v>2913</v>
      </c>
      <c r="I7" s="547" t="s">
        <v>2914</v>
      </c>
      <c r="J7" s="545" t="s">
        <v>2915</v>
      </c>
      <c r="K7" s="545" t="s">
        <v>2916</v>
      </c>
      <c r="L7" s="545" t="s">
        <v>2917</v>
      </c>
      <c r="M7" s="388" t="s">
        <v>2918</v>
      </c>
      <c r="N7" s="2332"/>
      <c r="O7" s="2373"/>
    </row>
    <row r="8" spans="1:15" ht="21" customHeight="1" x14ac:dyDescent="0.3">
      <c r="A8" s="380"/>
      <c r="B8" s="2348"/>
      <c r="C8" s="2349"/>
      <c r="D8" s="399"/>
      <c r="E8" s="399"/>
      <c r="F8" s="399"/>
      <c r="G8" s="400" t="s">
        <v>2919</v>
      </c>
      <c r="H8" s="400" t="s">
        <v>2920</v>
      </c>
      <c r="I8" s="401" t="s">
        <v>2921</v>
      </c>
      <c r="J8" s="401" t="s">
        <v>2922</v>
      </c>
      <c r="K8" s="401" t="s">
        <v>2923</v>
      </c>
      <c r="L8" s="401" t="s">
        <v>2924</v>
      </c>
      <c r="M8" s="401" t="s">
        <v>2925</v>
      </c>
      <c r="N8" s="400" t="s">
        <v>2926</v>
      </c>
      <c r="O8" s="402" t="s">
        <v>2927</v>
      </c>
    </row>
    <row r="9" spans="1:15" ht="24.9" customHeight="1" x14ac:dyDescent="0.3">
      <c r="A9" s="381"/>
      <c r="B9" s="375" t="s">
        <v>2928</v>
      </c>
      <c r="C9" s="2377" t="s">
        <v>2929</v>
      </c>
      <c r="D9" s="2378"/>
      <c r="E9" s="2378"/>
      <c r="F9" s="2379"/>
      <c r="G9" s="631"/>
      <c r="H9" s="631"/>
      <c r="I9" s="632"/>
      <c r="J9" s="632"/>
      <c r="K9" s="632"/>
      <c r="L9" s="632"/>
      <c r="M9" s="632"/>
      <c r="N9" s="633"/>
      <c r="O9" s="634" t="s">
        <v>2930</v>
      </c>
    </row>
    <row r="10" spans="1:15" ht="24.9" customHeight="1" x14ac:dyDescent="0.2">
      <c r="A10" s="381"/>
      <c r="B10" s="375" t="s">
        <v>2931</v>
      </c>
      <c r="C10" s="2365" t="s">
        <v>2932</v>
      </c>
      <c r="D10" s="2366"/>
      <c r="E10" s="2366"/>
      <c r="F10" s="2367"/>
      <c r="G10" s="635"/>
      <c r="H10" s="635"/>
      <c r="I10" s="635"/>
      <c r="J10" s="636"/>
      <c r="K10" s="637"/>
      <c r="L10" s="637"/>
      <c r="M10" s="636"/>
      <c r="N10" s="636"/>
      <c r="O10" s="638"/>
    </row>
    <row r="11" spans="1:15" ht="24.9" customHeight="1" x14ac:dyDescent="0.2">
      <c r="A11" s="381"/>
      <c r="B11" s="375" t="s">
        <v>2933</v>
      </c>
      <c r="C11" s="2380" t="s">
        <v>2934</v>
      </c>
      <c r="D11" s="2381"/>
      <c r="E11" s="2381"/>
      <c r="F11" s="2382"/>
      <c r="G11" s="637"/>
      <c r="H11" s="637"/>
      <c r="I11" s="636"/>
      <c r="J11" s="636"/>
      <c r="K11" s="637"/>
      <c r="L11" s="637"/>
      <c r="M11" s="636"/>
      <c r="N11" s="637"/>
      <c r="O11" s="638"/>
    </row>
    <row r="12" spans="1:15" ht="31.5" customHeight="1" x14ac:dyDescent="0.2">
      <c r="A12" s="381"/>
      <c r="B12" s="375" t="s">
        <v>2935</v>
      </c>
      <c r="C12" s="2374" t="s">
        <v>2936</v>
      </c>
      <c r="D12" s="2375"/>
      <c r="E12" s="2375"/>
      <c r="F12" s="2376"/>
      <c r="G12" s="635"/>
      <c r="H12" s="635"/>
      <c r="I12" s="635"/>
      <c r="J12" s="635"/>
      <c r="K12" s="635"/>
      <c r="L12" s="635"/>
      <c r="M12" s="639"/>
      <c r="N12" s="636"/>
      <c r="O12" s="638"/>
    </row>
    <row r="13" spans="1:15" ht="24.9" customHeight="1" x14ac:dyDescent="0.2">
      <c r="A13" s="381"/>
      <c r="B13" s="375" t="s">
        <v>2937</v>
      </c>
      <c r="C13" s="2365" t="s">
        <v>2938</v>
      </c>
      <c r="D13" s="2366"/>
      <c r="E13" s="2366"/>
      <c r="F13" s="2367"/>
      <c r="G13" s="635"/>
      <c r="H13" s="635"/>
      <c r="I13" s="635"/>
      <c r="J13" s="635"/>
      <c r="K13" s="635"/>
      <c r="L13" s="635"/>
      <c r="M13" s="639"/>
      <c r="N13" s="636"/>
      <c r="O13" s="638"/>
    </row>
    <row r="14" spans="1:15" ht="24.9" customHeight="1" x14ac:dyDescent="0.2">
      <c r="A14" s="381"/>
      <c r="B14" s="403" t="s">
        <v>2939</v>
      </c>
      <c r="C14" s="2365" t="s">
        <v>2940</v>
      </c>
      <c r="D14" s="2366"/>
      <c r="E14" s="2366"/>
      <c r="F14" s="2367"/>
      <c r="G14" s="640"/>
      <c r="H14" s="640"/>
      <c r="I14" s="640"/>
      <c r="J14" s="640"/>
      <c r="K14" s="641"/>
      <c r="L14" s="641"/>
      <c r="M14" s="639"/>
      <c r="N14" s="636"/>
      <c r="O14" s="638"/>
    </row>
    <row r="15" spans="1:15" ht="24.9" customHeight="1" x14ac:dyDescent="0.2">
      <c r="A15" s="381"/>
      <c r="B15" s="403" t="s">
        <v>2941</v>
      </c>
      <c r="C15" s="1761" t="s">
        <v>2942</v>
      </c>
      <c r="D15" s="1762"/>
      <c r="E15" s="1763"/>
      <c r="F15" s="1764"/>
      <c r="G15" s="640"/>
      <c r="H15" s="640"/>
      <c r="I15" s="640"/>
      <c r="J15" s="640"/>
      <c r="K15" s="641"/>
      <c r="L15" s="641"/>
      <c r="M15" s="639"/>
      <c r="N15" s="636"/>
      <c r="O15" s="638"/>
    </row>
    <row r="16" spans="1:15" ht="24.9" customHeight="1" x14ac:dyDescent="0.2">
      <c r="A16" s="381"/>
      <c r="B16" s="403" t="s">
        <v>2943</v>
      </c>
      <c r="C16" s="1761" t="s">
        <v>2944</v>
      </c>
      <c r="D16" s="1762"/>
      <c r="E16" s="1763"/>
      <c r="F16" s="1764"/>
      <c r="G16" s="640"/>
      <c r="H16" s="640"/>
      <c r="I16" s="640"/>
      <c r="J16" s="640"/>
      <c r="K16" s="641"/>
      <c r="L16" s="641"/>
      <c r="M16" s="639"/>
      <c r="N16" s="636"/>
      <c r="O16" s="638"/>
    </row>
    <row r="17" spans="1:15" ht="24.9" customHeight="1" x14ac:dyDescent="0.2">
      <c r="A17" s="381"/>
      <c r="B17" s="403" t="s">
        <v>2945</v>
      </c>
      <c r="C17" s="1761" t="s">
        <v>2946</v>
      </c>
      <c r="D17" s="1762"/>
      <c r="E17" s="1763"/>
      <c r="F17" s="1764"/>
      <c r="G17" s="640"/>
      <c r="H17" s="640"/>
      <c r="I17" s="640"/>
      <c r="J17" s="640"/>
      <c r="K17" s="641"/>
      <c r="L17" s="641"/>
      <c r="M17" s="639"/>
      <c r="N17" s="636"/>
      <c r="O17" s="638"/>
    </row>
    <row r="18" spans="1:15" s="383" customFormat="1" ht="24.9" customHeight="1" x14ac:dyDescent="0.2">
      <c r="A18" s="382"/>
      <c r="B18" s="404" t="s">
        <v>2947</v>
      </c>
      <c r="C18" s="1761" t="s">
        <v>2948</v>
      </c>
      <c r="D18" s="1763"/>
      <c r="E18" s="1763"/>
      <c r="F18" s="1765"/>
      <c r="G18" s="642"/>
      <c r="H18" s="642"/>
      <c r="I18" s="642"/>
      <c r="J18" s="642"/>
      <c r="K18" s="643"/>
      <c r="L18" s="643"/>
      <c r="M18" s="642"/>
      <c r="N18" s="644"/>
      <c r="O18" s="645"/>
    </row>
    <row r="19" spans="1:15" ht="24.9" customHeight="1" x14ac:dyDescent="0.25">
      <c r="A19" s="381"/>
      <c r="B19" s="2368" t="s">
        <v>2949</v>
      </c>
      <c r="C19" s="2369"/>
      <c r="D19" s="2369"/>
      <c r="E19" s="2369"/>
      <c r="F19" s="2369"/>
      <c r="G19" s="2369"/>
      <c r="H19" s="2369"/>
      <c r="I19" s="2369"/>
      <c r="J19" s="2369"/>
      <c r="K19" s="2369"/>
      <c r="L19" s="2369"/>
      <c r="M19" s="2369"/>
      <c r="N19" s="2369"/>
      <c r="O19" s="2370"/>
    </row>
    <row r="20" spans="1:15" ht="24.9" customHeight="1" x14ac:dyDescent="0.3">
      <c r="A20" s="381"/>
      <c r="B20" s="375">
        <v>100</v>
      </c>
      <c r="C20" s="1766"/>
      <c r="D20" s="1767" t="s">
        <v>2950</v>
      </c>
      <c r="E20" s="1767"/>
      <c r="F20" s="1768"/>
      <c r="G20" s="631"/>
      <c r="H20" s="631"/>
      <c r="I20" s="646"/>
      <c r="J20" s="646"/>
      <c r="K20" s="646"/>
      <c r="L20" s="646"/>
      <c r="M20" s="646"/>
      <c r="N20" s="646"/>
      <c r="O20" s="647"/>
    </row>
    <row r="21" spans="1:15" ht="24.9" customHeight="1" x14ac:dyDescent="0.3">
      <c r="A21" s="381"/>
      <c r="B21" s="375">
        <v>110</v>
      </c>
      <c r="C21" s="1766"/>
      <c r="D21" s="1767" t="s">
        <v>2951</v>
      </c>
      <c r="E21" s="1767"/>
      <c r="F21" s="1768"/>
      <c r="G21" s="648"/>
      <c r="H21" s="648"/>
      <c r="I21" s="649"/>
      <c r="J21" s="649"/>
      <c r="K21" s="649"/>
      <c r="L21" s="649"/>
      <c r="M21" s="649"/>
      <c r="N21" s="649"/>
      <c r="O21" s="650"/>
    </row>
    <row r="22" spans="1:15" ht="24.9" customHeight="1" x14ac:dyDescent="0.3">
      <c r="A22" s="381"/>
      <c r="B22" s="375">
        <v>120</v>
      </c>
      <c r="C22" s="1766"/>
      <c r="D22" s="1767" t="s">
        <v>2952</v>
      </c>
      <c r="E22" s="1767"/>
      <c r="F22" s="1768"/>
      <c r="G22" s="651"/>
      <c r="H22" s="651"/>
      <c r="I22" s="652"/>
      <c r="J22" s="652"/>
      <c r="K22" s="652"/>
      <c r="L22" s="652"/>
      <c r="M22" s="652"/>
      <c r="N22" s="652"/>
      <c r="O22" s="653"/>
    </row>
    <row r="23" spans="1:15" ht="24.9" customHeight="1" x14ac:dyDescent="0.25">
      <c r="A23" s="381"/>
      <c r="B23" s="2368" t="s">
        <v>2953</v>
      </c>
      <c r="C23" s="2369"/>
      <c r="D23" s="2369"/>
      <c r="E23" s="2369"/>
      <c r="F23" s="2369"/>
      <c r="G23" s="2369"/>
      <c r="H23" s="2369"/>
      <c r="I23" s="2369"/>
      <c r="J23" s="2369"/>
      <c r="K23" s="2369"/>
      <c r="L23" s="2369"/>
      <c r="M23" s="2369"/>
      <c r="N23" s="2369"/>
      <c r="O23" s="2370"/>
    </row>
    <row r="24" spans="1:15" ht="24.9" customHeight="1" x14ac:dyDescent="0.2">
      <c r="A24" s="381"/>
      <c r="B24" s="375">
        <v>130</v>
      </c>
      <c r="C24" s="1766"/>
      <c r="D24" s="1769" t="s">
        <v>2954</v>
      </c>
      <c r="E24" s="1769"/>
      <c r="F24" s="1770"/>
      <c r="G24" s="654"/>
      <c r="H24" s="654"/>
      <c r="I24" s="654"/>
      <c r="J24" s="654"/>
      <c r="K24" s="655"/>
      <c r="L24" s="655"/>
      <c r="M24" s="655"/>
      <c r="N24" s="656"/>
      <c r="O24" s="657"/>
    </row>
    <row r="25" spans="1:15" ht="24.9" customHeight="1" x14ac:dyDescent="0.2">
      <c r="A25" s="381"/>
      <c r="B25" s="375">
        <v>140</v>
      </c>
      <c r="C25" s="1766"/>
      <c r="D25" s="1769" t="s">
        <v>2955</v>
      </c>
      <c r="E25" s="1769"/>
      <c r="F25" s="1770"/>
      <c r="G25" s="635"/>
      <c r="H25" s="635"/>
      <c r="I25" s="635"/>
      <c r="J25" s="635"/>
      <c r="K25" s="639"/>
      <c r="L25" s="639"/>
      <c r="M25" s="639"/>
      <c r="N25" s="637"/>
      <c r="O25" s="638"/>
    </row>
    <row r="26" spans="1:15" ht="24.9" customHeight="1" x14ac:dyDescent="0.2">
      <c r="A26" s="381"/>
      <c r="B26" s="375">
        <v>150</v>
      </c>
      <c r="C26" s="1766"/>
      <c r="D26" s="1769" t="s">
        <v>2956</v>
      </c>
      <c r="E26" s="1769"/>
      <c r="F26" s="1770"/>
      <c r="G26" s="635"/>
      <c r="H26" s="635"/>
      <c r="I26" s="635"/>
      <c r="J26" s="635"/>
      <c r="K26" s="639"/>
      <c r="L26" s="639"/>
      <c r="M26" s="639"/>
      <c r="N26" s="637"/>
      <c r="O26" s="638"/>
    </row>
    <row r="27" spans="1:15" ht="24.9" customHeight="1" x14ac:dyDescent="0.2">
      <c r="A27" s="381"/>
      <c r="B27" s="375">
        <v>160</v>
      </c>
      <c r="C27" s="1766"/>
      <c r="D27" s="1769" t="s">
        <v>2957</v>
      </c>
      <c r="E27" s="1769"/>
      <c r="F27" s="1770"/>
      <c r="G27" s="635"/>
      <c r="H27" s="635"/>
      <c r="I27" s="635"/>
      <c r="J27" s="635"/>
      <c r="K27" s="639"/>
      <c r="L27" s="639"/>
      <c r="M27" s="639"/>
      <c r="N27" s="637"/>
      <c r="O27" s="638"/>
    </row>
    <row r="28" spans="1:15" ht="24.9" customHeight="1" x14ac:dyDescent="0.2">
      <c r="A28" s="381"/>
      <c r="B28" s="375">
        <v>170</v>
      </c>
      <c r="C28" s="1766"/>
      <c r="D28" s="1769" t="s">
        <v>2958</v>
      </c>
      <c r="E28" s="1769"/>
      <c r="F28" s="1770"/>
      <c r="G28" s="635"/>
      <c r="H28" s="635"/>
      <c r="I28" s="635"/>
      <c r="J28" s="635"/>
      <c r="K28" s="639"/>
      <c r="L28" s="639"/>
      <c r="M28" s="639"/>
      <c r="N28" s="637"/>
      <c r="O28" s="638"/>
    </row>
    <row r="29" spans="1:15" ht="24.9" customHeight="1" x14ac:dyDescent="0.2">
      <c r="A29" s="381"/>
      <c r="B29" s="375">
        <v>180</v>
      </c>
      <c r="C29" s="1766"/>
      <c r="D29" s="1769" t="s">
        <v>2959</v>
      </c>
      <c r="E29" s="1769"/>
      <c r="F29" s="1768"/>
      <c r="G29" s="635"/>
      <c r="H29" s="635"/>
      <c r="I29" s="635"/>
      <c r="J29" s="635"/>
      <c r="K29" s="639"/>
      <c r="L29" s="639"/>
      <c r="M29" s="639"/>
      <c r="N29" s="637"/>
      <c r="O29" s="638"/>
    </row>
    <row r="30" spans="1:15" ht="24.9" customHeight="1" x14ac:dyDescent="0.2">
      <c r="A30" s="381"/>
      <c r="B30" s="375">
        <v>190</v>
      </c>
      <c r="C30" s="1766"/>
      <c r="D30" s="1769" t="s">
        <v>2960</v>
      </c>
      <c r="E30" s="1769"/>
      <c r="F30" s="1768"/>
      <c r="G30" s="635"/>
      <c r="H30" s="635"/>
      <c r="I30" s="635"/>
      <c r="J30" s="635"/>
      <c r="K30" s="639"/>
      <c r="L30" s="639"/>
      <c r="M30" s="639"/>
      <c r="N30" s="637"/>
      <c r="O30" s="638"/>
    </row>
    <row r="31" spans="1:15" ht="24.9" customHeight="1" x14ac:dyDescent="0.2">
      <c r="A31" s="381"/>
      <c r="B31" s="375">
        <v>200</v>
      </c>
      <c r="C31" s="1766"/>
      <c r="D31" s="1769" t="s">
        <v>2961</v>
      </c>
      <c r="E31" s="1769"/>
      <c r="F31" s="1768"/>
      <c r="G31" s="635"/>
      <c r="H31" s="635"/>
      <c r="I31" s="635"/>
      <c r="J31" s="635"/>
      <c r="K31" s="639"/>
      <c r="L31" s="639"/>
      <c r="M31" s="639"/>
      <c r="N31" s="637"/>
      <c r="O31" s="638"/>
    </row>
    <row r="32" spans="1:15" ht="24.9" customHeight="1" x14ac:dyDescent="0.2">
      <c r="A32" s="381"/>
      <c r="B32" s="375">
        <v>210</v>
      </c>
      <c r="C32" s="1766"/>
      <c r="D32" s="1769" t="s">
        <v>2962</v>
      </c>
      <c r="E32" s="1769"/>
      <c r="F32" s="1768"/>
      <c r="G32" s="635"/>
      <c r="H32" s="635"/>
      <c r="I32" s="635"/>
      <c r="J32" s="635"/>
      <c r="K32" s="639"/>
      <c r="L32" s="639"/>
      <c r="M32" s="639"/>
      <c r="N32" s="637"/>
      <c r="O32" s="638"/>
    </row>
    <row r="33" spans="1:15" ht="24.9" customHeight="1" x14ac:dyDescent="0.2">
      <c r="A33" s="381"/>
      <c r="B33" s="375">
        <v>220</v>
      </c>
      <c r="C33" s="1766"/>
      <c r="D33" s="1769" t="s">
        <v>2963</v>
      </c>
      <c r="E33" s="1769"/>
      <c r="F33" s="1768"/>
      <c r="G33" s="635"/>
      <c r="H33" s="635"/>
      <c r="I33" s="635"/>
      <c r="J33" s="635"/>
      <c r="K33" s="639"/>
      <c r="L33" s="639"/>
      <c r="M33" s="639"/>
      <c r="N33" s="637"/>
      <c r="O33" s="638"/>
    </row>
    <row r="34" spans="1:15" ht="24.9" customHeight="1" x14ac:dyDescent="0.2">
      <c r="A34" s="381"/>
      <c r="B34" s="375">
        <v>230</v>
      </c>
      <c r="C34" s="1766"/>
      <c r="D34" s="1769" t="s">
        <v>2964</v>
      </c>
      <c r="E34" s="1769"/>
      <c r="F34" s="1768"/>
      <c r="G34" s="635"/>
      <c r="H34" s="635"/>
      <c r="I34" s="635"/>
      <c r="J34" s="635"/>
      <c r="K34" s="639"/>
      <c r="L34" s="639"/>
      <c r="M34" s="639"/>
      <c r="N34" s="637"/>
      <c r="O34" s="638"/>
    </row>
    <row r="35" spans="1:15" ht="24.9" customHeight="1" x14ac:dyDescent="0.2">
      <c r="A35" s="381"/>
      <c r="B35" s="375">
        <v>240</v>
      </c>
      <c r="C35" s="1766"/>
      <c r="D35" s="1769" t="s">
        <v>2965</v>
      </c>
      <c r="E35" s="1769"/>
      <c r="F35" s="1768"/>
      <c r="G35" s="635"/>
      <c r="H35" s="635"/>
      <c r="I35" s="635"/>
      <c r="J35" s="635"/>
      <c r="K35" s="639"/>
      <c r="L35" s="639"/>
      <c r="M35" s="639"/>
      <c r="N35" s="637"/>
      <c r="O35" s="638"/>
    </row>
    <row r="36" spans="1:15" ht="24.9" customHeight="1" x14ac:dyDescent="0.2">
      <c r="A36" s="381"/>
      <c r="B36" s="375">
        <v>250</v>
      </c>
      <c r="C36" s="1766"/>
      <c r="D36" s="1769" t="s">
        <v>2966</v>
      </c>
      <c r="E36" s="1769"/>
      <c r="F36" s="1768"/>
      <c r="G36" s="635"/>
      <c r="H36" s="635"/>
      <c r="I36" s="635"/>
      <c r="J36" s="635"/>
      <c r="K36" s="639"/>
      <c r="L36" s="639"/>
      <c r="M36" s="639"/>
      <c r="N36" s="637"/>
      <c r="O36" s="638"/>
    </row>
    <row r="37" spans="1:15" ht="24.9" customHeight="1" x14ac:dyDescent="0.2">
      <c r="A37" s="381"/>
      <c r="B37" s="375">
        <v>270</v>
      </c>
      <c r="C37" s="1766"/>
      <c r="D37" s="1769" t="s">
        <v>2967</v>
      </c>
      <c r="E37" s="1769"/>
      <c r="F37" s="1768"/>
      <c r="G37" s="635"/>
      <c r="H37" s="635"/>
      <c r="I37" s="635"/>
      <c r="J37" s="635"/>
      <c r="K37" s="639"/>
      <c r="L37" s="639"/>
      <c r="M37" s="639"/>
      <c r="N37" s="637"/>
      <c r="O37" s="638"/>
    </row>
    <row r="38" spans="1:15" ht="24.9" customHeight="1" x14ac:dyDescent="0.2">
      <c r="A38" s="381"/>
      <c r="B38" s="375">
        <v>280</v>
      </c>
      <c r="C38" s="1766"/>
      <c r="D38" s="1769" t="s">
        <v>2968</v>
      </c>
      <c r="E38" s="1769"/>
      <c r="F38" s="1768"/>
      <c r="G38" s="635"/>
      <c r="H38" s="635"/>
      <c r="I38" s="635"/>
      <c r="J38" s="635"/>
      <c r="K38" s="639"/>
      <c r="L38" s="639"/>
      <c r="M38" s="639"/>
      <c r="N38" s="637"/>
      <c r="O38" s="638"/>
    </row>
    <row r="39" spans="1:15" ht="24.9" customHeight="1" x14ac:dyDescent="0.2">
      <c r="A39" s="381"/>
      <c r="B39" s="375">
        <v>290</v>
      </c>
      <c r="C39" s="1766"/>
      <c r="D39" s="1769" t="s">
        <v>2969</v>
      </c>
      <c r="E39" s="1769"/>
      <c r="F39" s="1768"/>
      <c r="G39" s="635"/>
      <c r="H39" s="635"/>
      <c r="I39" s="635"/>
      <c r="J39" s="635"/>
      <c r="K39" s="639"/>
      <c r="L39" s="639"/>
      <c r="M39" s="639"/>
      <c r="N39" s="637"/>
      <c r="O39" s="638"/>
    </row>
    <row r="40" spans="1:15" ht="24.9" customHeight="1" x14ac:dyDescent="0.2">
      <c r="A40" s="381"/>
      <c r="B40" s="375">
        <v>300</v>
      </c>
      <c r="C40" s="1766"/>
      <c r="D40" s="1769" t="s">
        <v>2970</v>
      </c>
      <c r="E40" s="1769"/>
      <c r="F40" s="1768"/>
      <c r="G40" s="635"/>
      <c r="H40" s="635"/>
      <c r="I40" s="635"/>
      <c r="J40" s="635"/>
      <c r="K40" s="639"/>
      <c r="L40" s="639"/>
      <c r="M40" s="639"/>
      <c r="N40" s="637"/>
      <c r="O40" s="638"/>
    </row>
    <row r="41" spans="1:15" ht="24.9" customHeight="1" x14ac:dyDescent="0.2">
      <c r="A41" s="381"/>
      <c r="B41" s="375">
        <v>310</v>
      </c>
      <c r="C41" s="1766"/>
      <c r="D41" s="1769" t="s">
        <v>2971</v>
      </c>
      <c r="E41" s="1769"/>
      <c r="F41" s="1768"/>
      <c r="G41" s="635"/>
      <c r="H41" s="635"/>
      <c r="I41" s="635"/>
      <c r="J41" s="635"/>
      <c r="K41" s="639"/>
      <c r="L41" s="639"/>
      <c r="M41" s="639"/>
      <c r="N41" s="637"/>
      <c r="O41" s="638"/>
    </row>
    <row r="42" spans="1:15" ht="24.9" customHeight="1" x14ac:dyDescent="0.2">
      <c r="A42" s="381"/>
      <c r="B42" s="375">
        <v>320</v>
      </c>
      <c r="C42" s="1766"/>
      <c r="D42" s="1769" t="s">
        <v>2972</v>
      </c>
      <c r="E42" s="1769"/>
      <c r="F42" s="1768"/>
      <c r="G42" s="635"/>
      <c r="H42" s="635"/>
      <c r="I42" s="635"/>
      <c r="J42" s="635"/>
      <c r="K42" s="639"/>
      <c r="L42" s="639"/>
      <c r="M42" s="639"/>
      <c r="N42" s="637"/>
      <c r="O42" s="638"/>
    </row>
    <row r="43" spans="1:15" ht="24.9" customHeight="1" x14ac:dyDescent="0.2">
      <c r="A43" s="381"/>
      <c r="B43" s="375">
        <v>330</v>
      </c>
      <c r="C43" s="1766"/>
      <c r="D43" s="1769" t="s">
        <v>2973</v>
      </c>
      <c r="E43" s="1769"/>
      <c r="F43" s="1768"/>
      <c r="G43" s="635"/>
      <c r="H43" s="635"/>
      <c r="I43" s="635"/>
      <c r="J43" s="635"/>
      <c r="K43" s="639"/>
      <c r="L43" s="639"/>
      <c r="M43" s="639"/>
      <c r="N43" s="637"/>
      <c r="O43" s="638"/>
    </row>
    <row r="44" spans="1:15" ht="24.9" customHeight="1" x14ac:dyDescent="0.2">
      <c r="A44" s="381"/>
      <c r="B44" s="375">
        <v>340</v>
      </c>
      <c r="C44" s="1766"/>
      <c r="D44" s="1769" t="s">
        <v>2974</v>
      </c>
      <c r="E44" s="1769"/>
      <c r="F44" s="1768"/>
      <c r="G44" s="635"/>
      <c r="H44" s="635"/>
      <c r="I44" s="635"/>
      <c r="J44" s="635"/>
      <c r="K44" s="639"/>
      <c r="L44" s="639"/>
      <c r="M44" s="639"/>
      <c r="N44" s="637"/>
      <c r="O44" s="638"/>
    </row>
    <row r="45" spans="1:15" ht="24.9" customHeight="1" x14ac:dyDescent="0.2">
      <c r="A45" s="381"/>
      <c r="B45" s="375">
        <v>350</v>
      </c>
      <c r="C45" s="1766"/>
      <c r="D45" s="1769" t="s">
        <v>2975</v>
      </c>
      <c r="E45" s="1769"/>
      <c r="F45" s="1768"/>
      <c r="G45" s="635"/>
      <c r="H45" s="635"/>
      <c r="I45" s="635"/>
      <c r="J45" s="635"/>
      <c r="K45" s="639"/>
      <c r="L45" s="639"/>
      <c r="M45" s="639"/>
      <c r="N45" s="637"/>
      <c r="O45" s="638"/>
    </row>
    <row r="46" spans="1:15" ht="24.9" customHeight="1" x14ac:dyDescent="0.2">
      <c r="A46" s="381"/>
      <c r="B46" s="375">
        <v>360</v>
      </c>
      <c r="C46" s="1766"/>
      <c r="D46" s="1769" t="s">
        <v>2976</v>
      </c>
      <c r="E46" s="1769"/>
      <c r="F46" s="1768"/>
      <c r="G46" s="635"/>
      <c r="H46" s="635"/>
      <c r="I46" s="635"/>
      <c r="J46" s="635"/>
      <c r="K46" s="639"/>
      <c r="L46" s="639"/>
      <c r="M46" s="639"/>
      <c r="N46" s="637"/>
      <c r="O46" s="638"/>
    </row>
    <row r="47" spans="1:15" ht="24.9" customHeight="1" x14ac:dyDescent="0.2">
      <c r="A47" s="381"/>
      <c r="B47" s="375">
        <v>370</v>
      </c>
      <c r="C47" s="1766"/>
      <c r="D47" s="1769" t="s">
        <v>2977</v>
      </c>
      <c r="E47" s="1769"/>
      <c r="F47" s="1768"/>
      <c r="G47" s="635"/>
      <c r="H47" s="635"/>
      <c r="I47" s="635"/>
      <c r="J47" s="635"/>
      <c r="K47" s="637"/>
      <c r="L47" s="637"/>
      <c r="M47" s="639"/>
      <c r="N47" s="637"/>
      <c r="O47" s="638"/>
    </row>
    <row r="48" spans="1:15" ht="24.9" customHeight="1" x14ac:dyDescent="0.2">
      <c r="A48" s="381"/>
      <c r="B48" s="375">
        <v>380</v>
      </c>
      <c r="C48" s="1766"/>
      <c r="D48" s="1769" t="s">
        <v>2978</v>
      </c>
      <c r="E48" s="1769"/>
      <c r="F48" s="1768"/>
      <c r="G48" s="635"/>
      <c r="H48" s="635"/>
      <c r="I48" s="635"/>
      <c r="J48" s="635"/>
      <c r="K48" s="637"/>
      <c r="L48" s="637"/>
      <c r="M48" s="639"/>
      <c r="N48" s="637"/>
      <c r="O48" s="638"/>
    </row>
    <row r="49" spans="1:15" ht="24.9" customHeight="1" x14ac:dyDescent="0.2">
      <c r="A49" s="381"/>
      <c r="B49" s="375">
        <v>390</v>
      </c>
      <c r="C49" s="1766"/>
      <c r="D49" s="1769" t="s">
        <v>2979</v>
      </c>
      <c r="E49" s="1769"/>
      <c r="F49" s="1768"/>
      <c r="G49" s="635"/>
      <c r="H49" s="635"/>
      <c r="I49" s="635"/>
      <c r="J49" s="635"/>
      <c r="K49" s="637"/>
      <c r="L49" s="637"/>
      <c r="M49" s="639"/>
      <c r="N49" s="637"/>
      <c r="O49" s="638"/>
    </row>
    <row r="50" spans="1:15" ht="24.9" customHeight="1" x14ac:dyDescent="0.2">
      <c r="A50" s="381"/>
      <c r="B50" s="375">
        <v>400</v>
      </c>
      <c r="C50" s="1766"/>
      <c r="D50" s="1769" t="s">
        <v>2980</v>
      </c>
      <c r="E50" s="1769"/>
      <c r="F50" s="1768"/>
      <c r="G50" s="635"/>
      <c r="H50" s="635"/>
      <c r="I50" s="635"/>
      <c r="J50" s="635"/>
      <c r="K50" s="637"/>
      <c r="L50" s="637"/>
      <c r="M50" s="639"/>
      <c r="N50" s="637"/>
      <c r="O50" s="638"/>
    </row>
    <row r="51" spans="1:15" ht="24.9" customHeight="1" x14ac:dyDescent="0.2">
      <c r="A51" s="381"/>
      <c r="B51" s="375" t="s">
        <v>2981</v>
      </c>
      <c r="C51" s="1771"/>
      <c r="D51" s="1772" t="s">
        <v>2982</v>
      </c>
      <c r="E51" s="1772"/>
      <c r="F51" s="1773"/>
      <c r="G51" s="1570"/>
      <c r="H51" s="1570"/>
      <c r="I51" s="1570"/>
      <c r="J51" s="1570"/>
      <c r="K51" s="1571"/>
      <c r="L51" s="1571"/>
      <c r="M51" s="1572"/>
      <c r="N51" s="1571"/>
      <c r="O51" s="1573"/>
    </row>
    <row r="52" spans="1:15" ht="24.9" customHeight="1" x14ac:dyDescent="0.2">
      <c r="A52" s="381"/>
      <c r="B52" s="375" t="s">
        <v>2983</v>
      </c>
      <c r="C52" s="1771"/>
      <c r="D52" s="1772" t="s">
        <v>2984</v>
      </c>
      <c r="E52" s="1772"/>
      <c r="F52" s="1773"/>
      <c r="G52" s="1570"/>
      <c r="H52" s="1570"/>
      <c r="I52" s="1570"/>
      <c r="J52" s="1570"/>
      <c r="K52" s="1571"/>
      <c r="L52" s="1571"/>
      <c r="M52" s="1572"/>
      <c r="N52" s="1571"/>
      <c r="O52" s="1573"/>
    </row>
    <row r="53" spans="1:15" ht="24.9" customHeight="1" x14ac:dyDescent="0.2">
      <c r="A53" s="381"/>
      <c r="B53" s="375" t="s">
        <v>2985</v>
      </c>
      <c r="C53" s="1771"/>
      <c r="D53" s="1772" t="s">
        <v>2986</v>
      </c>
      <c r="E53" s="1772"/>
      <c r="F53" s="1773"/>
      <c r="G53" s="1570"/>
      <c r="H53" s="1570"/>
      <c r="I53" s="1570"/>
      <c r="J53" s="1570"/>
      <c r="K53" s="1571"/>
      <c r="L53" s="1571"/>
      <c r="M53" s="1572"/>
      <c r="N53" s="1571"/>
      <c r="O53" s="1573"/>
    </row>
    <row r="54" spans="1:15" ht="24.9" customHeight="1" x14ac:dyDescent="0.2">
      <c r="A54" s="381"/>
      <c r="B54" s="375" t="s">
        <v>2987</v>
      </c>
      <c r="C54" s="1771"/>
      <c r="D54" s="1772" t="s">
        <v>2988</v>
      </c>
      <c r="E54" s="1772"/>
      <c r="F54" s="1773"/>
      <c r="G54" s="1570"/>
      <c r="H54" s="1570"/>
      <c r="I54" s="1570"/>
      <c r="J54" s="1570"/>
      <c r="K54" s="1571"/>
      <c r="L54" s="1571"/>
      <c r="M54" s="1572"/>
      <c r="N54" s="1571"/>
      <c r="O54" s="1573"/>
    </row>
    <row r="55" spans="1:15" ht="24.9" customHeight="1" x14ac:dyDescent="0.2">
      <c r="A55" s="381"/>
      <c r="B55" s="375" t="s">
        <v>2989</v>
      </c>
      <c r="C55" s="1771"/>
      <c r="D55" s="1772" t="s">
        <v>2990</v>
      </c>
      <c r="E55" s="1772"/>
      <c r="F55" s="1773"/>
      <c r="G55" s="1570"/>
      <c r="H55" s="1570"/>
      <c r="I55" s="1570"/>
      <c r="J55" s="1570"/>
      <c r="K55" s="1571"/>
      <c r="L55" s="1571"/>
      <c r="M55" s="1572"/>
      <c r="N55" s="1571"/>
      <c r="O55" s="1573"/>
    </row>
    <row r="56" spans="1:15" ht="24.9" customHeight="1" x14ac:dyDescent="0.2">
      <c r="A56" s="381"/>
      <c r="B56" s="375" t="s">
        <v>2991</v>
      </c>
      <c r="C56" s="1771"/>
      <c r="D56" s="1772" t="s">
        <v>2992</v>
      </c>
      <c r="E56" s="1772"/>
      <c r="F56" s="1773"/>
      <c r="G56" s="1570"/>
      <c r="H56" s="1570"/>
      <c r="I56" s="1570"/>
      <c r="J56" s="1570"/>
      <c r="K56" s="1571"/>
      <c r="L56" s="1571"/>
      <c r="M56" s="1572"/>
      <c r="N56" s="1571"/>
      <c r="O56" s="1573"/>
    </row>
    <row r="57" spans="1:15" ht="24.9" customHeight="1" x14ac:dyDescent="0.2">
      <c r="A57" s="381"/>
      <c r="B57" s="421" t="s">
        <v>2993</v>
      </c>
      <c r="C57" s="1771"/>
      <c r="D57" s="1772" t="s">
        <v>2994</v>
      </c>
      <c r="E57" s="1772"/>
      <c r="F57" s="1773"/>
      <c r="G57" s="1570"/>
      <c r="H57" s="1570"/>
      <c r="I57" s="1570"/>
      <c r="J57" s="1570"/>
      <c r="K57" s="1571"/>
      <c r="L57" s="1571"/>
      <c r="M57" s="1572"/>
      <c r="N57" s="1571"/>
      <c r="O57" s="1573"/>
    </row>
    <row r="58" spans="1:15" ht="24.9" customHeight="1" thickBot="1" x14ac:dyDescent="0.25">
      <c r="A58" s="381"/>
      <c r="B58" s="377" t="s">
        <v>2995</v>
      </c>
      <c r="C58" s="1774"/>
      <c r="D58" s="1775" t="s">
        <v>2996</v>
      </c>
      <c r="E58" s="1776"/>
      <c r="F58" s="1777"/>
      <c r="G58" s="658"/>
      <c r="H58" s="658"/>
      <c r="I58" s="658"/>
      <c r="J58" s="658"/>
      <c r="K58" s="659"/>
      <c r="L58" s="659"/>
      <c r="M58" s="659"/>
      <c r="N58" s="660"/>
      <c r="O58" s="661"/>
    </row>
    <row r="59" spans="1:15" ht="19.5" customHeight="1" x14ac:dyDescent="0.2">
      <c r="A59" s="384"/>
      <c r="B59" s="384"/>
    </row>
    <row r="61" spans="1:15" ht="15" x14ac:dyDescent="0.2">
      <c r="D61" s="1569"/>
      <c r="F61" s="214"/>
      <c r="G61" s="176"/>
      <c r="H61" s="176"/>
    </row>
    <row r="62" spans="1:15" ht="15" x14ac:dyDescent="0.2">
      <c r="F62" s="214"/>
      <c r="G62" s="176"/>
      <c r="H62" s="176"/>
    </row>
    <row r="63" spans="1:15" ht="15" x14ac:dyDescent="0.2">
      <c r="F63" s="214"/>
      <c r="G63" s="176"/>
      <c r="H63" s="176"/>
    </row>
    <row r="64" spans="1:15" ht="15" x14ac:dyDescent="0.2">
      <c r="F64" s="214"/>
      <c r="G64" s="176"/>
      <c r="H64" s="176"/>
    </row>
    <row r="65" spans="6:8" ht="15" x14ac:dyDescent="0.2">
      <c r="F65" s="214"/>
      <c r="G65" s="176"/>
      <c r="H65" s="176"/>
    </row>
    <row r="66" spans="6:8" ht="15" x14ac:dyDescent="0.2">
      <c r="F66" s="214"/>
      <c r="G66" s="176"/>
      <c r="H66" s="176"/>
    </row>
    <row r="67" spans="6:8" ht="12.75" x14ac:dyDescent="0.2">
      <c r="F67" s="214"/>
      <c r="G67" s="214"/>
      <c r="H67" s="214"/>
    </row>
    <row r="68" spans="6:8" ht="12.75" x14ac:dyDescent="0.2">
      <c r="F68" s="214"/>
      <c r="G68" s="214"/>
      <c r="H68" s="214"/>
    </row>
    <row r="69" spans="6:8" ht="12.75" x14ac:dyDescent="0.2">
      <c r="F69" s="214"/>
      <c r="G69" s="214"/>
      <c r="H69" s="214"/>
    </row>
  </sheetData>
  <mergeCells count="15">
    <mergeCell ref="C14:F14"/>
    <mergeCell ref="B19:O19"/>
    <mergeCell ref="B23:O23"/>
    <mergeCell ref="N4:N7"/>
    <mergeCell ref="O4:O7"/>
    <mergeCell ref="C10:F10"/>
    <mergeCell ref="C12:F12"/>
    <mergeCell ref="C13:F13"/>
    <mergeCell ref="C9:F9"/>
    <mergeCell ref="C11:F11"/>
    <mergeCell ref="B2:O2"/>
    <mergeCell ref="B4:C8"/>
    <mergeCell ref="G4:H6"/>
    <mergeCell ref="I4:J6"/>
    <mergeCell ref="K4:M6"/>
  </mergeCells>
  <printOptions horizontalCentered="1"/>
  <pageMargins left="0.27559055118110237" right="0.15748031496062992" top="0.78740157480314965" bottom="0.78740157480314965" header="0.31496062992125984" footer="0.31496062992125984"/>
  <pageSetup paperSize="9" scale="33" fitToWidth="2" orientation="landscape" r:id="rId1"/>
  <headerFooter>
    <oddHeader>&amp;CFR
ANNEXE I</oddHeader>
    <oddFooter>&amp;C&amp;P</oddFooter>
  </headerFooter>
  <ignoredErrors>
    <ignoredError sqref="B12:B18 G8:O8 B9:B10"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B1:M28"/>
  <sheetViews>
    <sheetView showGridLines="0" zoomScale="70" zoomScaleNormal="70" zoomScalePageLayoutView="80" workbookViewId="0">
      <selection activeCell="J33" sqref="J33"/>
    </sheetView>
  </sheetViews>
  <sheetFormatPr defaultColWidth="11.44140625" defaultRowHeight="12.6" x14ac:dyDescent="0.2"/>
  <cols>
    <col min="1" max="1" width="1.6640625" style="163" customWidth="1"/>
    <col min="2" max="2" width="6.6640625" style="163" customWidth="1"/>
    <col min="3" max="3" width="11.44140625" style="163"/>
    <col min="4" max="4" width="13.33203125" style="163" customWidth="1"/>
    <col min="5" max="5" width="11.44140625" style="163"/>
    <col min="6" max="6" width="43.5546875" style="163" customWidth="1"/>
    <col min="7" max="10" width="16.33203125" style="163" customWidth="1"/>
    <col min="11" max="11" width="23.5546875" style="163" customWidth="1"/>
    <col min="12" max="12" width="20.44140625" style="163" customWidth="1"/>
    <col min="13" max="13" width="22.5546875" style="163" customWidth="1"/>
    <col min="14" max="16384" width="11.44140625" style="163"/>
  </cols>
  <sheetData>
    <row r="1" spans="2:13" ht="9" customHeight="1" thickBot="1" x14ac:dyDescent="0.25"/>
    <row r="2" spans="2:13" s="1546" customFormat="1" ht="26.25" customHeight="1" thickBot="1" x14ac:dyDescent="0.3">
      <c r="B2" s="2383" t="s">
        <v>2997</v>
      </c>
      <c r="C2" s="2384"/>
      <c r="D2" s="2384"/>
      <c r="E2" s="2384"/>
      <c r="F2" s="2384"/>
      <c r="G2" s="2384"/>
      <c r="H2" s="2384"/>
      <c r="I2" s="2384"/>
      <c r="J2" s="2384"/>
      <c r="K2" s="2384"/>
      <c r="L2" s="2384"/>
      <c r="M2" s="2385"/>
    </row>
    <row r="3" spans="2:13" ht="12.75" customHeight="1" thickBot="1" x14ac:dyDescent="0.3">
      <c r="B3" s="177"/>
      <c r="C3" s="166"/>
      <c r="D3" s="178"/>
      <c r="E3" s="178"/>
      <c r="F3" s="169"/>
      <c r="G3" s="164"/>
      <c r="H3" s="164"/>
      <c r="I3" s="164"/>
      <c r="J3" s="164"/>
      <c r="K3" s="164"/>
      <c r="L3" s="169"/>
      <c r="M3" s="169"/>
    </row>
    <row r="4" spans="2:13" s="212" customFormat="1" ht="25.5" customHeight="1" x14ac:dyDescent="0.25">
      <c r="B4" s="378"/>
      <c r="C4" s="360"/>
      <c r="D4" s="360"/>
      <c r="E4" s="360"/>
      <c r="F4" s="360"/>
      <c r="G4" s="2392" t="s">
        <v>2998</v>
      </c>
      <c r="H4" s="2393"/>
      <c r="I4" s="2394" t="s">
        <v>2999</v>
      </c>
      <c r="J4" s="2395"/>
      <c r="K4" s="2400" t="s">
        <v>3000</v>
      </c>
      <c r="L4" s="2400" t="s">
        <v>3001</v>
      </c>
      <c r="M4" s="2386" t="s">
        <v>3002</v>
      </c>
    </row>
    <row r="5" spans="2:13" s="212" customFormat="1" ht="15" customHeight="1" x14ac:dyDescent="0.25">
      <c r="B5" s="379"/>
      <c r="C5" s="361"/>
      <c r="D5" s="361"/>
      <c r="E5" s="361"/>
      <c r="F5" s="361"/>
      <c r="G5" s="2389" t="s">
        <v>3003</v>
      </c>
      <c r="H5" s="2391" t="s">
        <v>3004</v>
      </c>
      <c r="I5" s="2396"/>
      <c r="J5" s="2397"/>
      <c r="K5" s="2401"/>
      <c r="L5" s="2403"/>
      <c r="M5" s="2387"/>
    </row>
    <row r="6" spans="2:13" s="212" customFormat="1" ht="35.25" customHeight="1" x14ac:dyDescent="0.25">
      <c r="B6" s="379"/>
      <c r="C6" s="361"/>
      <c r="D6" s="361"/>
      <c r="E6" s="361"/>
      <c r="F6" s="361"/>
      <c r="G6" s="2390"/>
      <c r="H6" s="2390"/>
      <c r="I6" s="2398"/>
      <c r="J6" s="2399"/>
      <c r="K6" s="2401"/>
      <c r="L6" s="2403"/>
      <c r="M6" s="2387"/>
    </row>
    <row r="7" spans="2:13" s="212" customFormat="1" ht="66" customHeight="1" x14ac:dyDescent="0.25">
      <c r="B7" s="379"/>
      <c r="C7" s="361"/>
      <c r="D7" s="361"/>
      <c r="E7" s="361"/>
      <c r="F7" s="361"/>
      <c r="G7" s="2320"/>
      <c r="H7" s="2320"/>
      <c r="I7" s="548" t="s">
        <v>3005</v>
      </c>
      <c r="J7" s="362" t="s">
        <v>3006</v>
      </c>
      <c r="K7" s="2402"/>
      <c r="L7" s="2404"/>
      <c r="M7" s="2388"/>
    </row>
    <row r="8" spans="2:13" s="212" customFormat="1" ht="14.25" x14ac:dyDescent="0.2">
      <c r="B8" s="379"/>
      <c r="C8" s="361"/>
      <c r="D8" s="361"/>
      <c r="E8" s="361"/>
      <c r="F8" s="361"/>
      <c r="G8" s="369" t="s">
        <v>3007</v>
      </c>
      <c r="H8" s="370" t="s">
        <v>3008</v>
      </c>
      <c r="I8" s="370" t="s">
        <v>3009</v>
      </c>
      <c r="J8" s="370" t="s">
        <v>3010</v>
      </c>
      <c r="K8" s="371" t="s">
        <v>3011</v>
      </c>
      <c r="L8" s="372" t="s">
        <v>3012</v>
      </c>
      <c r="M8" s="373" t="s">
        <v>3013</v>
      </c>
    </row>
    <row r="9" spans="2:13" s="212" customFormat="1" ht="18" customHeight="1" x14ac:dyDescent="0.25">
      <c r="B9" s="375" t="s">
        <v>3014</v>
      </c>
      <c r="C9" s="390" t="s">
        <v>3015</v>
      </c>
      <c r="D9" s="267"/>
      <c r="E9" s="267"/>
      <c r="F9" s="268"/>
      <c r="G9" s="550"/>
      <c r="H9" s="551"/>
      <c r="I9" s="601"/>
      <c r="J9" s="601"/>
      <c r="K9" s="601"/>
      <c r="L9" s="601"/>
      <c r="M9" s="602" t="s">
        <v>3016</v>
      </c>
    </row>
    <row r="10" spans="2:13" s="212" customFormat="1" ht="18" customHeight="1" x14ac:dyDescent="0.25">
      <c r="B10" s="375" t="s">
        <v>3017</v>
      </c>
      <c r="C10" s="391"/>
      <c r="D10" s="217" t="s">
        <v>3018</v>
      </c>
      <c r="E10" s="217"/>
      <c r="F10" s="219"/>
      <c r="G10" s="552"/>
      <c r="H10" s="553"/>
      <c r="I10" s="603"/>
      <c r="J10" s="603"/>
      <c r="K10" s="603"/>
      <c r="L10" s="603"/>
      <c r="M10" s="604"/>
    </row>
    <row r="11" spans="2:13" s="212" customFormat="1" ht="18" customHeight="1" x14ac:dyDescent="0.25">
      <c r="B11" s="375" t="s">
        <v>3019</v>
      </c>
      <c r="C11" s="391"/>
      <c r="D11" s="217" t="s">
        <v>3020</v>
      </c>
      <c r="E11" s="217"/>
      <c r="F11" s="219"/>
      <c r="G11" s="552"/>
      <c r="H11" s="553"/>
      <c r="I11" s="603"/>
      <c r="J11" s="603"/>
      <c r="K11" s="603"/>
      <c r="L11" s="603"/>
      <c r="M11" s="604"/>
    </row>
    <row r="12" spans="2:13" s="212" customFormat="1" ht="18" customHeight="1" x14ac:dyDescent="0.2">
      <c r="B12" s="375" t="s">
        <v>3021</v>
      </c>
      <c r="C12" s="391"/>
      <c r="D12" s="217" t="s">
        <v>3022</v>
      </c>
      <c r="E12" s="217"/>
      <c r="F12" s="219"/>
      <c r="G12" s="552"/>
      <c r="H12" s="553"/>
      <c r="I12" s="603"/>
      <c r="J12" s="603"/>
      <c r="K12" s="603"/>
      <c r="L12" s="603"/>
      <c r="M12" s="604"/>
    </row>
    <row r="13" spans="2:13" s="212" customFormat="1" ht="18" customHeight="1" x14ac:dyDescent="0.2">
      <c r="B13" s="375" t="s">
        <v>3023</v>
      </c>
      <c r="C13" s="391"/>
      <c r="D13" s="217" t="s">
        <v>3024</v>
      </c>
      <c r="E13" s="217"/>
      <c r="F13" s="219"/>
      <c r="G13" s="552"/>
      <c r="H13" s="553"/>
      <c r="I13" s="603"/>
      <c r="J13" s="603"/>
      <c r="K13" s="603"/>
      <c r="L13" s="603"/>
      <c r="M13" s="604"/>
    </row>
    <row r="14" spans="2:13" s="212" customFormat="1" ht="18" customHeight="1" x14ac:dyDescent="0.25">
      <c r="B14" s="421" t="s">
        <v>3025</v>
      </c>
      <c r="C14" s="391"/>
      <c r="D14" s="217" t="s">
        <v>3026</v>
      </c>
      <c r="E14" s="217"/>
      <c r="F14" s="219"/>
      <c r="G14" s="605"/>
      <c r="H14" s="606"/>
      <c r="I14" s="607"/>
      <c r="J14" s="607"/>
      <c r="K14" s="607"/>
      <c r="L14" s="607"/>
      <c r="M14" s="608"/>
    </row>
    <row r="15" spans="2:13" s="212" customFormat="1" ht="18" customHeight="1" x14ac:dyDescent="0.25">
      <c r="B15" s="375" t="s">
        <v>3027</v>
      </c>
      <c r="C15" s="395" t="s">
        <v>3028</v>
      </c>
      <c r="D15" s="376"/>
      <c r="E15" s="376"/>
      <c r="F15" s="218"/>
      <c r="G15" s="609"/>
      <c r="H15" s="610"/>
      <c r="I15" s="601"/>
      <c r="J15" s="601"/>
      <c r="K15" s="601"/>
      <c r="L15" s="611"/>
      <c r="M15" s="612"/>
    </row>
    <row r="16" spans="2:13" s="212" customFormat="1" ht="18" customHeight="1" x14ac:dyDescent="0.25">
      <c r="B16" s="375" t="s">
        <v>3029</v>
      </c>
      <c r="C16" s="396" t="s">
        <v>3030</v>
      </c>
      <c r="D16" s="269"/>
      <c r="E16" s="269"/>
      <c r="F16" s="270"/>
      <c r="G16" s="613"/>
      <c r="H16" s="614"/>
      <c r="I16" s="615"/>
      <c r="J16" s="615"/>
      <c r="K16" s="607"/>
      <c r="L16" s="616"/>
      <c r="M16" s="617"/>
    </row>
    <row r="17" spans="2:13" s="212" customFormat="1" ht="18" customHeight="1" x14ac:dyDescent="0.25">
      <c r="B17" s="374" t="s">
        <v>3031</v>
      </c>
      <c r="C17" s="392" t="s">
        <v>3032</v>
      </c>
      <c r="D17" s="271"/>
      <c r="E17" s="271"/>
      <c r="F17" s="272"/>
      <c r="G17" s="618"/>
      <c r="H17" s="619"/>
      <c r="I17" s="601"/>
      <c r="J17" s="601"/>
      <c r="K17" s="620"/>
      <c r="L17" s="621"/>
      <c r="M17" s="622"/>
    </row>
    <row r="18" spans="2:13" s="212" customFormat="1" ht="18" customHeight="1" x14ac:dyDescent="0.25">
      <c r="B18" s="375">
        <v>100</v>
      </c>
      <c r="C18" s="392" t="s">
        <v>3033</v>
      </c>
      <c r="D18" s="271"/>
      <c r="E18" s="271"/>
      <c r="F18" s="272"/>
      <c r="G18" s="623"/>
      <c r="H18" s="624"/>
      <c r="I18" s="624"/>
      <c r="J18" s="624"/>
      <c r="K18" s="624"/>
      <c r="L18" s="625"/>
      <c r="M18" s="626"/>
    </row>
    <row r="19" spans="2:13" s="212" customFormat="1" ht="18" customHeight="1" x14ac:dyDescent="0.25">
      <c r="B19" s="375">
        <v>110</v>
      </c>
      <c r="C19" s="393" t="s">
        <v>3034</v>
      </c>
      <c r="D19" s="273"/>
      <c r="E19" s="274"/>
      <c r="F19" s="275"/>
      <c r="G19" s="623"/>
      <c r="H19" s="624"/>
      <c r="I19" s="624"/>
      <c r="J19" s="624"/>
      <c r="K19" s="624"/>
      <c r="L19" s="625"/>
      <c r="M19" s="626"/>
    </row>
    <row r="20" spans="2:13" s="212" customFormat="1" ht="18" customHeight="1" x14ac:dyDescent="0.25">
      <c r="B20" s="375">
        <v>120</v>
      </c>
      <c r="C20" s="393" t="s">
        <v>3035</v>
      </c>
      <c r="D20" s="273"/>
      <c r="E20" s="274"/>
      <c r="F20" s="275"/>
      <c r="G20" s="623"/>
      <c r="H20" s="624"/>
      <c r="I20" s="624"/>
      <c r="J20" s="624"/>
      <c r="K20" s="624"/>
      <c r="L20" s="625"/>
      <c r="M20" s="626"/>
    </row>
    <row r="21" spans="2:13" s="212" customFormat="1" ht="18" customHeight="1" x14ac:dyDescent="0.25">
      <c r="B21" s="375">
        <v>130</v>
      </c>
      <c r="C21" s="393" t="s">
        <v>3036</v>
      </c>
      <c r="D21" s="273"/>
      <c r="E21" s="274"/>
      <c r="F21" s="275"/>
      <c r="G21" s="623"/>
      <c r="H21" s="624"/>
      <c r="I21" s="624"/>
      <c r="J21" s="624"/>
      <c r="K21" s="624"/>
      <c r="L21" s="625"/>
      <c r="M21" s="626"/>
    </row>
    <row r="22" spans="2:13" s="212" customFormat="1" ht="18" customHeight="1" thickBot="1" x14ac:dyDescent="0.3">
      <c r="B22" s="377">
        <v>140</v>
      </c>
      <c r="C22" s="394" t="s">
        <v>3037</v>
      </c>
      <c r="D22" s="276"/>
      <c r="E22" s="276"/>
      <c r="F22" s="277"/>
      <c r="G22" s="627"/>
      <c r="H22" s="628"/>
      <c r="I22" s="628"/>
      <c r="J22" s="628"/>
      <c r="K22" s="628"/>
      <c r="L22" s="629"/>
      <c r="M22" s="630"/>
    </row>
    <row r="23" spans="2:13" ht="15" x14ac:dyDescent="0.2">
      <c r="B23" s="176"/>
      <c r="C23" s="176"/>
      <c r="D23" s="176"/>
      <c r="E23" s="176"/>
      <c r="F23" s="176"/>
      <c r="G23" s="174"/>
      <c r="H23" s="174"/>
      <c r="I23" s="174"/>
      <c r="J23" s="174"/>
      <c r="K23" s="174"/>
      <c r="L23" s="172"/>
      <c r="M23" s="172"/>
    </row>
    <row r="24" spans="2:13" ht="15" x14ac:dyDescent="0.2">
      <c r="B24" s="172"/>
      <c r="C24" s="172"/>
      <c r="D24" s="172"/>
      <c r="E24" s="172"/>
      <c r="F24" s="172"/>
      <c r="G24" s="174"/>
      <c r="H24" s="174"/>
      <c r="I24" s="174"/>
      <c r="J24" s="174"/>
      <c r="K24" s="174"/>
      <c r="L24" s="172"/>
      <c r="M24" s="172"/>
    </row>
    <row r="25" spans="2:13" ht="15" x14ac:dyDescent="0.2">
      <c r="B25" s="172"/>
      <c r="C25" s="172"/>
      <c r="D25" s="172"/>
      <c r="E25" s="176"/>
      <c r="F25" s="176"/>
      <c r="G25" s="179"/>
      <c r="H25" s="179"/>
      <c r="I25" s="179"/>
      <c r="J25" s="179"/>
      <c r="K25" s="179"/>
      <c r="L25" s="172"/>
      <c r="M25" s="172"/>
    </row>
    <row r="26" spans="2:13" ht="12.75" x14ac:dyDescent="0.2">
      <c r="E26" s="214"/>
      <c r="F26" s="214"/>
      <c r="G26" s="214"/>
      <c r="H26" s="214"/>
      <c r="I26" s="214"/>
      <c r="J26" s="214"/>
    </row>
    <row r="27" spans="2:13" ht="12.75" x14ac:dyDescent="0.2">
      <c r="E27" s="214"/>
      <c r="F27" s="214"/>
      <c r="G27" s="214"/>
      <c r="H27" s="214"/>
      <c r="I27" s="214"/>
      <c r="J27" s="214"/>
    </row>
    <row r="28" spans="2:13" ht="12.75" x14ac:dyDescent="0.2">
      <c r="E28" s="214"/>
      <c r="F28" s="214"/>
      <c r="G28" s="214"/>
      <c r="H28" s="214"/>
      <c r="I28" s="214"/>
      <c r="J28" s="214"/>
    </row>
  </sheetData>
  <mergeCells count="8">
    <mergeCell ref="B2:M2"/>
    <mergeCell ref="M4:M7"/>
    <mergeCell ref="G5:G7"/>
    <mergeCell ref="H5:H7"/>
    <mergeCell ref="G4:H4"/>
    <mergeCell ref="I4:J6"/>
    <mergeCell ref="K4:K7"/>
    <mergeCell ref="L4:L7"/>
  </mergeCells>
  <printOptions horizontalCentered="1"/>
  <pageMargins left="0.27559055118110237" right="0.15748031496062992" top="0.78740157480314965" bottom="0.78740157480314965" header="0.31496062992125984" footer="0.31496062992125984"/>
  <pageSetup paperSize="9" scale="65" orientation="landscape" r:id="rId1"/>
  <headerFooter>
    <oddHeader>&amp;CFR
ANNEXE I</oddHeader>
    <oddFooter>&amp;C&amp;P</oddFooter>
  </headerFooter>
  <ignoredErrors>
    <ignoredError sqref="G8:K8 B9:B22 L8:M8"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BE21"/>
  <sheetViews>
    <sheetView showGridLines="0" topLeftCell="C1" zoomScale="40" zoomScaleNormal="40" zoomScaleSheetLayoutView="50" zoomScalePageLayoutView="90" workbookViewId="0">
      <selection activeCell="N14" sqref="N14"/>
    </sheetView>
  </sheetViews>
  <sheetFormatPr defaultColWidth="9.109375" defaultRowHeight="16.2" x14ac:dyDescent="0.3"/>
  <cols>
    <col min="1" max="1" width="2.44140625" style="182" customWidth="1"/>
    <col min="2" max="2" width="10.33203125" style="182" customWidth="1"/>
    <col min="3" max="3" width="20" style="181" customWidth="1"/>
    <col min="4" max="4" width="34.33203125" style="181" customWidth="1"/>
    <col min="5" max="5" width="29.5546875" style="181" customWidth="1"/>
    <col min="6" max="6" width="22.109375" style="181" customWidth="1"/>
    <col min="7" max="7" width="29.5546875" style="181" customWidth="1"/>
    <col min="8" max="8" width="26.44140625" style="181" customWidth="1"/>
    <col min="9" max="9" width="24" style="181" customWidth="1"/>
    <col min="10" max="10" width="21.88671875" style="181" customWidth="1"/>
    <col min="11" max="11" width="28.88671875" style="181" customWidth="1"/>
    <col min="12" max="12" width="25.5546875" style="181" customWidth="1"/>
    <col min="13" max="13" width="21" style="181" customWidth="1"/>
    <col min="14" max="14" width="43.6640625" style="181" customWidth="1"/>
    <col min="15" max="15" width="27.44140625" style="181" customWidth="1"/>
    <col min="16" max="16" width="26.88671875" style="181" customWidth="1"/>
    <col min="17" max="17" width="29.88671875" style="181" customWidth="1"/>
    <col min="18" max="18" width="27.6640625" style="181" customWidth="1"/>
    <col min="19" max="19" width="32" style="181" customWidth="1"/>
    <col min="20" max="20" width="55.33203125" style="181" customWidth="1"/>
    <col min="21" max="16384" width="9.109375" style="181"/>
  </cols>
  <sheetData>
    <row r="1" spans="1:23" ht="14.25" customHeight="1" thickBot="1" x14ac:dyDescent="0.25">
      <c r="A1" s="180"/>
      <c r="B1" s="180"/>
    </row>
    <row r="2" spans="1:23" s="266" customFormat="1" ht="36.75" customHeight="1" thickBot="1" x14ac:dyDescent="0.5">
      <c r="B2" s="1641"/>
      <c r="C2" s="1582"/>
      <c r="D2" s="1582"/>
      <c r="E2" s="1582" t="s">
        <v>3038</v>
      </c>
      <c r="F2" s="1582"/>
      <c r="G2" s="1582"/>
      <c r="H2" s="1582"/>
      <c r="I2" s="1582"/>
      <c r="J2" s="1582"/>
      <c r="K2" s="1582"/>
      <c r="L2" s="1582"/>
      <c r="M2" s="1583"/>
      <c r="N2" s="1581" t="s">
        <v>3039</v>
      </c>
      <c r="O2" s="1582"/>
      <c r="P2" s="1582"/>
      <c r="Q2" s="1582"/>
      <c r="R2" s="1582"/>
      <c r="S2" s="1582"/>
      <c r="T2" s="1583"/>
    </row>
    <row r="3" spans="1:23" ht="14.25" customHeight="1" thickBot="1" x14ac:dyDescent="0.25">
      <c r="C3" s="183"/>
      <c r="D3" s="184"/>
      <c r="E3" s="184"/>
      <c r="F3" s="184"/>
      <c r="G3" s="184"/>
      <c r="H3" s="184"/>
      <c r="I3" s="184"/>
      <c r="J3" s="184"/>
      <c r="K3" s="184"/>
      <c r="L3" s="184"/>
      <c r="M3" s="184"/>
      <c r="N3" s="184"/>
      <c r="O3" s="184"/>
      <c r="P3" s="185"/>
    </row>
    <row r="4" spans="1:23" ht="84.75" customHeight="1" x14ac:dyDescent="0.2">
      <c r="A4" s="2405"/>
      <c r="B4" s="2408"/>
      <c r="C4" s="2409"/>
      <c r="D4" s="2410"/>
      <c r="E4" s="2406" t="s">
        <v>3040</v>
      </c>
      <c r="F4" s="2407"/>
      <c r="G4" s="2406" t="s">
        <v>3041</v>
      </c>
      <c r="H4" s="2407"/>
      <c r="I4" s="2406" t="s">
        <v>3042</v>
      </c>
      <c r="J4" s="2407"/>
      <c r="K4" s="2406" t="s">
        <v>3043</v>
      </c>
      <c r="L4" s="2428"/>
      <c r="M4" s="2428"/>
      <c r="N4" s="2429" t="s">
        <v>3044</v>
      </c>
      <c r="O4" s="2422" t="s">
        <v>3045</v>
      </c>
      <c r="P4" s="2424" t="s">
        <v>3046</v>
      </c>
      <c r="Q4" s="2422" t="s">
        <v>3047</v>
      </c>
      <c r="R4" s="2422" t="s">
        <v>3048</v>
      </c>
      <c r="S4" s="2424" t="s">
        <v>3049</v>
      </c>
      <c r="T4" s="2426" t="s">
        <v>3050</v>
      </c>
    </row>
    <row r="5" spans="1:23" ht="127.5" customHeight="1" x14ac:dyDescent="0.2">
      <c r="A5" s="2405"/>
      <c r="B5" s="2411"/>
      <c r="C5" s="2412"/>
      <c r="D5" s="2413"/>
      <c r="E5" s="355" t="s">
        <v>3051</v>
      </c>
      <c r="F5" s="355" t="s">
        <v>3052</v>
      </c>
      <c r="G5" s="355" t="s">
        <v>3053</v>
      </c>
      <c r="H5" s="355" t="s">
        <v>3054</v>
      </c>
      <c r="I5" s="355" t="s">
        <v>3055</v>
      </c>
      <c r="J5" s="355" t="s">
        <v>3056</v>
      </c>
      <c r="K5" s="356" t="s">
        <v>3057</v>
      </c>
      <c r="L5" s="355" t="s">
        <v>3058</v>
      </c>
      <c r="M5" s="357" t="s">
        <v>3059</v>
      </c>
      <c r="N5" s="2425"/>
      <c r="O5" s="2423"/>
      <c r="P5" s="2425"/>
      <c r="Q5" s="2423"/>
      <c r="R5" s="2423"/>
      <c r="S5" s="2425"/>
      <c r="T5" s="2427"/>
    </row>
    <row r="6" spans="1:23" ht="81.75" customHeight="1" x14ac:dyDescent="0.2">
      <c r="A6" s="2405"/>
      <c r="B6" s="2414"/>
      <c r="C6" s="2415"/>
      <c r="D6" s="2416"/>
      <c r="E6" s="351" t="s">
        <v>3060</v>
      </c>
      <c r="F6" s="351" t="s">
        <v>3061</v>
      </c>
      <c r="G6" s="351" t="s">
        <v>3062</v>
      </c>
      <c r="H6" s="351" t="s">
        <v>3063</v>
      </c>
      <c r="I6" s="351" t="s">
        <v>3064</v>
      </c>
      <c r="J6" s="351" t="s">
        <v>3065</v>
      </c>
      <c r="K6" s="353" t="s">
        <v>3066</v>
      </c>
      <c r="L6" s="351" t="s">
        <v>3067</v>
      </c>
      <c r="M6" s="351" t="s">
        <v>3068</v>
      </c>
      <c r="N6" s="353" t="s">
        <v>3069</v>
      </c>
      <c r="O6" s="352">
        <v>130</v>
      </c>
      <c r="P6" s="351" t="s">
        <v>3070</v>
      </c>
      <c r="Q6" s="351" t="s">
        <v>3071</v>
      </c>
      <c r="R6" s="351" t="s">
        <v>3072</v>
      </c>
      <c r="S6" s="351" t="s">
        <v>3073</v>
      </c>
      <c r="T6" s="354" t="s">
        <v>3074</v>
      </c>
      <c r="U6" s="186"/>
      <c r="V6" s="186"/>
      <c r="W6" s="186"/>
    </row>
    <row r="7" spans="1:23" ht="35.1" customHeight="1" x14ac:dyDescent="0.2">
      <c r="A7" s="187"/>
      <c r="B7" s="367" t="s">
        <v>3075</v>
      </c>
      <c r="C7" s="2421" t="s">
        <v>3076</v>
      </c>
      <c r="D7" s="2421"/>
      <c r="E7" s="583"/>
      <c r="F7" s="583"/>
      <c r="G7" s="583"/>
      <c r="H7" s="583"/>
      <c r="I7" s="583"/>
      <c r="J7" s="583"/>
      <c r="K7" s="583"/>
      <c r="L7" s="583"/>
      <c r="M7" s="583"/>
      <c r="N7" s="583"/>
      <c r="O7" s="584" t="s">
        <v>3077</v>
      </c>
      <c r="P7" s="583"/>
      <c r="Q7" s="583"/>
      <c r="R7" s="583"/>
      <c r="S7" s="583"/>
      <c r="T7" s="585"/>
    </row>
    <row r="8" spans="1:23" ht="35.1" customHeight="1" x14ac:dyDescent="0.2">
      <c r="A8" s="188"/>
      <c r="B8" s="520"/>
      <c r="C8" s="2417" t="s">
        <v>3078</v>
      </c>
      <c r="D8" s="2417"/>
      <c r="E8" s="2417"/>
      <c r="F8" s="2417"/>
      <c r="G8" s="2417"/>
      <c r="H8" s="2417"/>
      <c r="I8" s="2417"/>
      <c r="J8" s="2417"/>
      <c r="K8" s="2417"/>
      <c r="L8" s="2417"/>
      <c r="M8" s="2417"/>
      <c r="N8" s="2417"/>
      <c r="O8" s="2417"/>
      <c r="P8" s="2417"/>
      <c r="Q8" s="2417"/>
      <c r="R8" s="2417"/>
      <c r="S8" s="2417"/>
      <c r="T8" s="2418"/>
    </row>
    <row r="9" spans="1:23" ht="39" customHeight="1" x14ac:dyDescent="0.2">
      <c r="A9" s="187"/>
      <c r="B9" s="367" t="s">
        <v>3079</v>
      </c>
      <c r="C9" s="2419" t="s">
        <v>3080</v>
      </c>
      <c r="D9" s="2419"/>
      <c r="E9" s="586"/>
      <c r="F9" s="586"/>
      <c r="G9" s="586"/>
      <c r="H9" s="586"/>
      <c r="I9" s="587"/>
      <c r="J9" s="587"/>
      <c r="K9" s="587"/>
      <c r="L9" s="587"/>
      <c r="M9" s="587"/>
      <c r="N9" s="587"/>
      <c r="O9" s="587"/>
      <c r="P9" s="588"/>
      <c r="Q9" s="588"/>
      <c r="R9" s="588"/>
      <c r="S9" s="588"/>
      <c r="T9" s="589"/>
      <c r="U9" s="189"/>
      <c r="V9" s="189"/>
    </row>
    <row r="10" spans="1:23" ht="47.25" customHeight="1" x14ac:dyDescent="0.2">
      <c r="A10" s="187"/>
      <c r="B10" s="367" t="s">
        <v>3081</v>
      </c>
      <c r="C10" s="2420" t="s">
        <v>3082</v>
      </c>
      <c r="D10" s="2420"/>
      <c r="E10" s="590"/>
      <c r="F10" s="590"/>
      <c r="G10" s="590"/>
      <c r="H10" s="590"/>
      <c r="I10" s="591"/>
      <c r="J10" s="591"/>
      <c r="K10" s="591"/>
      <c r="L10" s="591"/>
      <c r="M10" s="591"/>
      <c r="N10" s="591"/>
      <c r="O10" s="591"/>
      <c r="P10" s="592"/>
      <c r="Q10" s="592"/>
      <c r="R10" s="592"/>
      <c r="S10" s="592"/>
      <c r="T10" s="593"/>
      <c r="U10" s="189"/>
      <c r="V10" s="189"/>
    </row>
    <row r="11" spans="1:23" ht="49.5" customHeight="1" x14ac:dyDescent="0.2">
      <c r="A11" s="187"/>
      <c r="B11" s="367" t="s">
        <v>3083</v>
      </c>
      <c r="C11" s="2420" t="s">
        <v>3084</v>
      </c>
      <c r="D11" s="2420"/>
      <c r="E11" s="590"/>
      <c r="F11" s="590"/>
      <c r="G11" s="590"/>
      <c r="H11" s="590"/>
      <c r="I11" s="591"/>
      <c r="J11" s="591"/>
      <c r="K11" s="591"/>
      <c r="L11" s="591"/>
      <c r="M11" s="591"/>
      <c r="N11" s="591"/>
      <c r="O11" s="591"/>
      <c r="P11" s="592"/>
      <c r="Q11" s="592"/>
      <c r="R11" s="592"/>
      <c r="S11" s="592"/>
      <c r="T11" s="593"/>
      <c r="U11" s="189"/>
      <c r="V11" s="189"/>
    </row>
    <row r="12" spans="1:23" ht="39" customHeight="1" x14ac:dyDescent="0.2">
      <c r="A12" s="187"/>
      <c r="B12" s="367" t="s">
        <v>3085</v>
      </c>
      <c r="C12" s="2421" t="s">
        <v>3086</v>
      </c>
      <c r="D12" s="2421"/>
      <c r="E12" s="590"/>
      <c r="F12" s="590"/>
      <c r="G12" s="590"/>
      <c r="H12" s="590"/>
      <c r="I12" s="591"/>
      <c r="J12" s="591"/>
      <c r="K12" s="591"/>
      <c r="L12" s="591"/>
      <c r="M12" s="591"/>
      <c r="N12" s="591"/>
      <c r="O12" s="591"/>
      <c r="P12" s="592"/>
      <c r="Q12" s="592"/>
      <c r="R12" s="592"/>
      <c r="S12" s="592"/>
      <c r="T12" s="593"/>
      <c r="U12" s="189"/>
      <c r="V12" s="189"/>
    </row>
    <row r="13" spans="1:23" ht="35.1" customHeight="1" x14ac:dyDescent="0.2">
      <c r="A13" s="187"/>
      <c r="B13" s="367" t="s">
        <v>3087</v>
      </c>
      <c r="C13" s="2420" t="s">
        <v>3088</v>
      </c>
      <c r="D13" s="2420"/>
      <c r="E13" s="590"/>
      <c r="F13" s="590"/>
      <c r="G13" s="590"/>
      <c r="H13" s="590"/>
      <c r="I13" s="591"/>
      <c r="J13" s="591"/>
      <c r="K13" s="591"/>
      <c r="L13" s="591"/>
      <c r="M13" s="591"/>
      <c r="N13" s="591"/>
      <c r="O13" s="591"/>
      <c r="P13" s="594"/>
      <c r="Q13" s="594"/>
      <c r="R13" s="594"/>
      <c r="S13" s="594"/>
      <c r="T13" s="595"/>
    </row>
    <row r="14" spans="1:23" ht="35.1" customHeight="1" x14ac:dyDescent="0.2">
      <c r="A14" s="187"/>
      <c r="B14" s="367" t="s">
        <v>3089</v>
      </c>
      <c r="C14" s="2420" t="s">
        <v>3090</v>
      </c>
      <c r="D14" s="2420"/>
      <c r="E14" s="596"/>
      <c r="F14" s="590"/>
      <c r="G14" s="590"/>
      <c r="H14" s="590"/>
      <c r="I14" s="591"/>
      <c r="J14" s="591"/>
      <c r="K14" s="591"/>
      <c r="L14" s="591"/>
      <c r="M14" s="591"/>
      <c r="N14" s="591"/>
      <c r="O14" s="591"/>
      <c r="P14" s="594"/>
      <c r="Q14" s="594"/>
      <c r="R14" s="594"/>
      <c r="S14" s="594"/>
      <c r="T14" s="595"/>
    </row>
    <row r="15" spans="1:23" ht="35.1" customHeight="1" x14ac:dyDescent="0.2">
      <c r="A15" s="187"/>
      <c r="B15" s="367" t="s">
        <v>3091</v>
      </c>
      <c r="C15" s="2421" t="s">
        <v>3092</v>
      </c>
      <c r="D15" s="2421"/>
      <c r="E15" s="590"/>
      <c r="F15" s="590"/>
      <c r="G15" s="590"/>
      <c r="H15" s="590"/>
      <c r="I15" s="591"/>
      <c r="J15" s="591"/>
      <c r="K15" s="591"/>
      <c r="L15" s="591"/>
      <c r="M15" s="591"/>
      <c r="N15" s="591"/>
      <c r="O15" s="591"/>
      <c r="P15" s="594"/>
      <c r="Q15" s="594"/>
      <c r="R15" s="594"/>
      <c r="S15" s="594"/>
      <c r="T15" s="595"/>
    </row>
    <row r="16" spans="1:23" ht="35.1" customHeight="1" x14ac:dyDescent="0.2">
      <c r="A16" s="187"/>
      <c r="B16" s="367" t="s">
        <v>3093</v>
      </c>
      <c r="C16" s="2421" t="s">
        <v>3094</v>
      </c>
      <c r="D16" s="2421"/>
      <c r="E16" s="590"/>
      <c r="F16" s="590"/>
      <c r="G16" s="590"/>
      <c r="H16" s="590"/>
      <c r="I16" s="591"/>
      <c r="J16" s="591"/>
      <c r="K16" s="591"/>
      <c r="L16" s="591"/>
      <c r="M16" s="591"/>
      <c r="N16" s="591"/>
      <c r="O16" s="591"/>
      <c r="P16" s="594"/>
      <c r="Q16" s="594"/>
      <c r="R16" s="594"/>
      <c r="S16" s="594"/>
      <c r="T16" s="595"/>
    </row>
    <row r="17" spans="1:57" ht="43.5" customHeight="1" x14ac:dyDescent="0.2">
      <c r="A17" s="187"/>
      <c r="B17" s="367" t="s">
        <v>3095</v>
      </c>
      <c r="C17" s="2421" t="s">
        <v>3096</v>
      </c>
      <c r="D17" s="2421"/>
      <c r="E17" s="590"/>
      <c r="F17" s="590"/>
      <c r="G17" s="590"/>
      <c r="H17" s="590"/>
      <c r="I17" s="591"/>
      <c r="J17" s="591"/>
      <c r="K17" s="591"/>
      <c r="L17" s="591"/>
      <c r="M17" s="591"/>
      <c r="N17" s="591"/>
      <c r="O17" s="591"/>
      <c r="P17" s="594"/>
      <c r="Q17" s="594"/>
      <c r="R17" s="594"/>
      <c r="S17" s="594"/>
      <c r="T17" s="595"/>
    </row>
    <row r="18" spans="1:57" ht="35.1" customHeight="1" thickBot="1" x14ac:dyDescent="0.25">
      <c r="A18" s="187"/>
      <c r="B18" s="368" t="s">
        <v>3097</v>
      </c>
      <c r="C18" s="2430" t="s">
        <v>3098</v>
      </c>
      <c r="D18" s="2430"/>
      <c r="E18" s="597"/>
      <c r="F18" s="597"/>
      <c r="G18" s="597"/>
      <c r="H18" s="597"/>
      <c r="I18" s="598"/>
      <c r="J18" s="598"/>
      <c r="K18" s="598"/>
      <c r="L18" s="598"/>
      <c r="M18" s="598"/>
      <c r="N18" s="598"/>
      <c r="O18" s="598"/>
      <c r="P18" s="599"/>
      <c r="Q18" s="599"/>
      <c r="R18" s="599"/>
      <c r="S18" s="599"/>
      <c r="T18" s="600"/>
    </row>
    <row r="19" spans="1:57" ht="20.25" customHeight="1" x14ac:dyDescent="0.2">
      <c r="D19" s="190"/>
      <c r="E19" s="191"/>
      <c r="F19" s="192"/>
      <c r="G19" s="192"/>
      <c r="H19" s="192"/>
      <c r="I19" s="192"/>
      <c r="J19" s="192"/>
      <c r="K19" s="192"/>
      <c r="L19" s="192"/>
      <c r="M19" s="192"/>
      <c r="N19" s="192"/>
      <c r="O19" s="192"/>
    </row>
    <row r="20" spans="1:57" ht="15" x14ac:dyDescent="0.2">
      <c r="G20" s="193"/>
      <c r="H20" s="193"/>
      <c r="I20" s="193"/>
      <c r="J20" s="193"/>
      <c r="K20" s="193"/>
      <c r="L20" s="193"/>
      <c r="M20" s="193"/>
      <c r="N20" s="193"/>
      <c r="O20" s="193"/>
      <c r="P20" s="193"/>
      <c r="Q20" s="193"/>
      <c r="R20" s="193"/>
      <c r="S20" s="193"/>
      <c r="T20" s="193"/>
      <c r="U20" s="193"/>
      <c r="V20" s="193"/>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T20" s="193"/>
      <c r="AU20" s="193"/>
      <c r="AV20" s="193"/>
      <c r="AW20" s="193"/>
      <c r="AX20" s="193"/>
      <c r="AY20" s="193"/>
      <c r="AZ20" s="193"/>
      <c r="BA20" s="193"/>
      <c r="BB20" s="193"/>
      <c r="BC20" s="193"/>
      <c r="BD20" s="193"/>
      <c r="BE20" s="193"/>
    </row>
    <row r="21" spans="1:57" ht="15" x14ac:dyDescent="0.2">
      <c r="G21" s="193"/>
      <c r="H21" s="193"/>
      <c r="I21" s="193"/>
      <c r="J21" s="193"/>
      <c r="K21" s="193"/>
      <c r="L21" s="193"/>
      <c r="M21" s="193"/>
      <c r="N21" s="193"/>
      <c r="O21" s="193"/>
      <c r="P21" s="193"/>
      <c r="Q21" s="193"/>
      <c r="R21" s="193"/>
      <c r="S21" s="193"/>
      <c r="T21" s="193"/>
      <c r="U21" s="193"/>
      <c r="V21" s="193"/>
      <c r="W21" s="193"/>
      <c r="X21" s="193"/>
      <c r="Y21" s="193"/>
      <c r="Z21" s="193"/>
      <c r="AA21" s="193"/>
      <c r="AB21" s="193"/>
      <c r="AC21" s="193"/>
      <c r="AD21" s="193"/>
      <c r="AE21" s="193"/>
      <c r="AF21" s="193"/>
      <c r="AG21" s="193"/>
      <c r="AH21" s="193"/>
      <c r="AI21" s="193"/>
      <c r="AJ21" s="193"/>
      <c r="AK21" s="193"/>
      <c r="AL21" s="193"/>
      <c r="AM21" s="193"/>
      <c r="AN21" s="193"/>
      <c r="AO21" s="193"/>
      <c r="AP21" s="193"/>
      <c r="AQ21" s="193"/>
      <c r="AR21" s="193"/>
      <c r="AS21" s="193"/>
      <c r="AT21" s="193"/>
      <c r="AU21" s="193"/>
      <c r="AV21" s="193"/>
      <c r="AW21" s="193"/>
      <c r="AX21" s="193"/>
      <c r="AY21" s="193"/>
      <c r="AZ21" s="193"/>
      <c r="BA21" s="193"/>
      <c r="BB21" s="193"/>
      <c r="BC21" s="193"/>
      <c r="BD21" s="193"/>
      <c r="BE21" s="193"/>
    </row>
  </sheetData>
  <mergeCells count="25">
    <mergeCell ref="C18:D18"/>
    <mergeCell ref="C13:D13"/>
    <mergeCell ref="C14:D14"/>
    <mergeCell ref="C15:D15"/>
    <mergeCell ref="C16:D16"/>
    <mergeCell ref="C17:D17"/>
    <mergeCell ref="R4:R5"/>
    <mergeCell ref="S4:S5"/>
    <mergeCell ref="T4:T5"/>
    <mergeCell ref="C7:D7"/>
    <mergeCell ref="K4:M4"/>
    <mergeCell ref="N4:N5"/>
    <mergeCell ref="O4:O5"/>
    <mergeCell ref="P4:P5"/>
    <mergeCell ref="Q4:Q5"/>
    <mergeCell ref="C8:T8"/>
    <mergeCell ref="C9:D9"/>
    <mergeCell ref="C10:D10"/>
    <mergeCell ref="C11:D11"/>
    <mergeCell ref="C12:D12"/>
    <mergeCell ref="A4:A6"/>
    <mergeCell ref="E4:F4"/>
    <mergeCell ref="G4:H4"/>
    <mergeCell ref="I4:J4"/>
    <mergeCell ref="B4:D6"/>
  </mergeCells>
  <printOptions horizontalCentered="1"/>
  <pageMargins left="0.27559055118110237" right="0.15748031496062992" top="0.78740157480314965" bottom="0.78740157480314965" header="0.31496062992125984" footer="0.31496062992125984"/>
  <pageSetup paperSize="9" scale="47" fitToWidth="2" orientation="landscape" r:id="rId1"/>
  <headerFooter>
    <oddHeader>&amp;CFR
ANNEXE I</oddHeader>
    <oddFooter>&amp;C&amp;P</oddFooter>
  </headerFooter>
  <colBreaks count="1" manualBreakCount="1">
    <brk id="13" min="1" max="17" man="1"/>
  </colBreaks>
  <ignoredErrors>
    <ignoredError sqref="E6:I6 J6 B7:B18 L6:M6 P6:T6"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B1:Q10"/>
  <sheetViews>
    <sheetView showGridLines="0" zoomScale="55" zoomScaleNormal="55" workbookViewId="0">
      <selection activeCell="L11" sqref="L11"/>
    </sheetView>
  </sheetViews>
  <sheetFormatPr defaultColWidth="11.44140625" defaultRowHeight="12.6" x14ac:dyDescent="0.2"/>
  <cols>
    <col min="1" max="1" width="1.6640625" style="122" customWidth="1"/>
    <col min="2" max="2" width="15.6640625" style="122" customWidth="1"/>
    <col min="3" max="3" width="39.44140625" style="122" bestFit="1" customWidth="1"/>
    <col min="4" max="4" width="12.109375" style="122" customWidth="1"/>
    <col min="5" max="5" width="16.33203125" style="122" customWidth="1"/>
    <col min="6" max="6" width="13.88671875" style="122" customWidth="1"/>
    <col min="7" max="7" width="18.44140625" style="122" customWidth="1"/>
    <col min="8" max="8" width="12.88671875" style="122" customWidth="1"/>
    <col min="9" max="9" width="19.33203125" style="122" customWidth="1"/>
    <col min="10" max="10" width="15.88671875" style="122" customWidth="1"/>
    <col min="11" max="11" width="16.88671875" style="122" customWidth="1"/>
    <col min="12" max="12" width="22" style="122" customWidth="1"/>
    <col min="13" max="13" width="16.33203125" style="122" customWidth="1"/>
    <col min="14" max="14" width="11.88671875" style="122" customWidth="1"/>
    <col min="15" max="15" width="11.44140625" style="122" customWidth="1"/>
    <col min="16" max="16" width="16.5546875" style="122" customWidth="1"/>
    <col min="17" max="17" width="50.6640625" style="122" customWidth="1"/>
    <col min="18" max="16384" width="11.44140625" style="122"/>
  </cols>
  <sheetData>
    <row r="1" spans="2:17" ht="11.25" customHeight="1" thickBot="1" x14ac:dyDescent="0.25"/>
    <row r="2" spans="2:17" ht="20.399999999999999" thickBot="1" x14ac:dyDescent="0.35">
      <c r="B2" s="260" t="s">
        <v>3099</v>
      </c>
      <c r="C2" s="261"/>
      <c r="D2" s="262"/>
      <c r="E2" s="262"/>
      <c r="F2" s="262"/>
      <c r="G2" s="262"/>
      <c r="H2" s="262"/>
      <c r="I2" s="262"/>
      <c r="J2" s="262"/>
      <c r="K2" s="262"/>
      <c r="L2" s="262"/>
      <c r="M2" s="262"/>
      <c r="N2" s="262"/>
      <c r="O2" s="262"/>
      <c r="P2" s="262"/>
      <c r="Q2" s="263"/>
    </row>
    <row r="3" spans="2:17" ht="9" customHeight="1" thickBot="1" x14ac:dyDescent="0.25"/>
    <row r="4" spans="2:17" ht="35.25" customHeight="1" x14ac:dyDescent="0.2">
      <c r="B4" s="2433"/>
      <c r="C4" s="363"/>
      <c r="D4" s="2442" t="s">
        <v>3100</v>
      </c>
      <c r="E4" s="2443"/>
      <c r="F4" s="2444"/>
      <c r="G4" s="2436" t="s">
        <v>3101</v>
      </c>
      <c r="H4" s="2436"/>
      <c r="I4" s="2436" t="s">
        <v>3102</v>
      </c>
      <c r="J4" s="2436"/>
      <c r="K4" s="2437" t="s">
        <v>3103</v>
      </c>
      <c r="L4" s="2437" t="s">
        <v>3104</v>
      </c>
      <c r="M4" s="2440" t="s">
        <v>3105</v>
      </c>
      <c r="N4" s="2441"/>
      <c r="O4" s="2441"/>
      <c r="P4" s="2431" t="s">
        <v>3106</v>
      </c>
      <c r="Q4" s="2432"/>
    </row>
    <row r="5" spans="2:17" ht="106.5" customHeight="1" x14ac:dyDescent="0.2">
      <c r="B5" s="2434"/>
      <c r="C5" s="264"/>
      <c r="D5" s="1531"/>
      <c r="E5" s="348" t="s">
        <v>3107</v>
      </c>
      <c r="F5" s="348" t="s">
        <v>3108</v>
      </c>
      <c r="G5" s="348" t="s">
        <v>3109</v>
      </c>
      <c r="H5" s="348" t="s">
        <v>3110</v>
      </c>
      <c r="I5" s="348" t="s">
        <v>3111</v>
      </c>
      <c r="J5" s="348" t="s">
        <v>3112</v>
      </c>
      <c r="K5" s="2438"/>
      <c r="L5" s="2439"/>
      <c r="M5" s="349" t="s">
        <v>3113</v>
      </c>
      <c r="N5" s="350" t="s">
        <v>3114</v>
      </c>
      <c r="O5" s="349" t="s">
        <v>3115</v>
      </c>
      <c r="P5" s="348" t="s">
        <v>3116</v>
      </c>
      <c r="Q5" s="358" t="s">
        <v>3117</v>
      </c>
    </row>
    <row r="6" spans="2:17" ht="42" customHeight="1" x14ac:dyDescent="0.2">
      <c r="B6" s="2435"/>
      <c r="C6" s="265"/>
      <c r="D6" s="346" t="s">
        <v>3118</v>
      </c>
      <c r="E6" s="346" t="s">
        <v>3119</v>
      </c>
      <c r="F6" s="346" t="s">
        <v>3120</v>
      </c>
      <c r="G6" s="346" t="s">
        <v>3121</v>
      </c>
      <c r="H6" s="346" t="s">
        <v>3122</v>
      </c>
      <c r="I6" s="346" t="s">
        <v>3123</v>
      </c>
      <c r="J6" s="346" t="s">
        <v>3124</v>
      </c>
      <c r="K6" s="346" t="s">
        <v>3125</v>
      </c>
      <c r="L6" s="346" t="s">
        <v>3126</v>
      </c>
      <c r="M6" s="347" t="s">
        <v>3127</v>
      </c>
      <c r="N6" s="347">
        <v>110</v>
      </c>
      <c r="O6" s="347">
        <v>120</v>
      </c>
      <c r="P6" s="346">
        <v>130</v>
      </c>
      <c r="Q6" s="359">
        <v>140</v>
      </c>
    </row>
    <row r="7" spans="2:17" ht="54" customHeight="1" x14ac:dyDescent="0.2">
      <c r="B7" s="364" t="s">
        <v>3128</v>
      </c>
      <c r="C7" s="445" t="s">
        <v>3129</v>
      </c>
      <c r="D7" s="557"/>
      <c r="E7" s="558"/>
      <c r="F7" s="558"/>
      <c r="G7" s="563"/>
      <c r="H7" s="563"/>
      <c r="I7" s="563"/>
      <c r="J7" s="563"/>
      <c r="K7" s="564"/>
      <c r="L7" s="565" t="s">
        <v>3130</v>
      </c>
      <c r="M7" s="566"/>
      <c r="N7" s="567"/>
      <c r="O7" s="566"/>
      <c r="P7" s="564"/>
      <c r="Q7" s="568"/>
    </row>
    <row r="8" spans="2:17" ht="43.5" customHeight="1" x14ac:dyDescent="0.2">
      <c r="B8" s="365" t="s">
        <v>3131</v>
      </c>
      <c r="C8" s="445" t="s">
        <v>3132</v>
      </c>
      <c r="D8" s="559"/>
      <c r="E8" s="560"/>
      <c r="F8" s="560"/>
      <c r="G8" s="569"/>
      <c r="H8" s="569"/>
      <c r="I8" s="569"/>
      <c r="J8" s="569"/>
      <c r="K8" s="570"/>
      <c r="L8" s="571" t="s">
        <v>3133</v>
      </c>
      <c r="M8" s="572"/>
      <c r="N8" s="573"/>
      <c r="O8" s="574"/>
      <c r="P8" s="570"/>
      <c r="Q8" s="575"/>
    </row>
    <row r="9" spans="2:17" ht="48.75" customHeight="1" x14ac:dyDescent="0.2">
      <c r="B9" s="365" t="s">
        <v>3134</v>
      </c>
      <c r="C9" s="445" t="s">
        <v>3135</v>
      </c>
      <c r="D9" s="559"/>
      <c r="E9" s="560"/>
      <c r="F9" s="560"/>
      <c r="G9" s="576"/>
      <c r="H9" s="576"/>
      <c r="I9" s="576"/>
      <c r="J9" s="576"/>
      <c r="K9" s="570"/>
      <c r="L9" s="571" t="s">
        <v>3136</v>
      </c>
      <c r="M9" s="572"/>
      <c r="N9" s="574"/>
      <c r="O9" s="574"/>
      <c r="P9" s="570"/>
      <c r="Q9" s="575"/>
    </row>
    <row r="10" spans="2:17" ht="46.5" customHeight="1" thickBot="1" x14ac:dyDescent="0.25">
      <c r="B10" s="366" t="s">
        <v>3137</v>
      </c>
      <c r="C10" s="446" t="s">
        <v>3138</v>
      </c>
      <c r="D10" s="561"/>
      <c r="E10" s="562"/>
      <c r="F10" s="562"/>
      <c r="G10" s="577"/>
      <c r="H10" s="577"/>
      <c r="I10" s="577"/>
      <c r="J10" s="577"/>
      <c r="K10" s="578"/>
      <c r="L10" s="579" t="s">
        <v>3139</v>
      </c>
      <c r="M10" s="580"/>
      <c r="N10" s="581"/>
      <c r="O10" s="581"/>
      <c r="P10" s="577"/>
      <c r="Q10" s="582"/>
    </row>
  </sheetData>
  <mergeCells count="8">
    <mergeCell ref="P4:Q4"/>
    <mergeCell ref="B4:B6"/>
    <mergeCell ref="G4:H4"/>
    <mergeCell ref="I4:J4"/>
    <mergeCell ref="K4:K5"/>
    <mergeCell ref="L4:L5"/>
    <mergeCell ref="M4:O4"/>
    <mergeCell ref="D4:F4"/>
  </mergeCells>
  <printOptions horizontalCentered="1"/>
  <pageMargins left="0.27559055118110237" right="0.15748031496062992" top="0.78740157480314965" bottom="0.78740157480314965" header="0.31496062992125984" footer="0.31496062992125984"/>
  <pageSetup paperSize="9" scale="54" orientation="landscape" r:id="rId1"/>
  <headerFooter>
    <oddHeader>&amp;CFR
ANNEXE I</oddHeader>
    <oddFooter>&amp;C&amp;P</oddFooter>
  </headerFooter>
  <colBreaks count="1" manualBreakCount="1">
    <brk id="10" min="1" max="9" man="1"/>
  </colBreaks>
  <ignoredErrors>
    <ignoredError sqref="D6:K6 B8:B10 M6:Q6"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B2:AG53"/>
  <sheetViews>
    <sheetView showGridLines="0" tabSelected="1" view="pageLayout" topLeftCell="H1" zoomScale="40" zoomScaleNormal="100" zoomScalePageLayoutView="40" workbookViewId="0">
      <selection activeCell="K42" sqref="K42"/>
    </sheetView>
  </sheetViews>
  <sheetFormatPr defaultColWidth="9.109375" defaultRowHeight="10.199999999999999" x14ac:dyDescent="0.2"/>
  <cols>
    <col min="1" max="1" width="1.5546875" style="82" customWidth="1"/>
    <col min="2" max="2" width="6" style="82" customWidth="1"/>
    <col min="3" max="3" width="68.109375" style="82" customWidth="1"/>
    <col min="4" max="5" width="18.5546875" style="82" customWidth="1"/>
    <col min="6" max="6" width="19.6640625" style="82" customWidth="1"/>
    <col min="7" max="7" width="17.109375" style="82" customWidth="1"/>
    <col min="8" max="9" width="20.44140625" style="82" customWidth="1"/>
    <col min="10" max="10" width="20.109375" style="82" customWidth="1"/>
    <col min="11" max="11" width="25.6640625" style="82" customWidth="1"/>
    <col min="12" max="12" width="21" style="82" customWidth="1"/>
    <col min="13" max="13" width="18.6640625" style="82" customWidth="1"/>
    <col min="14" max="14" width="22.109375" style="82" customWidth="1"/>
    <col min="15" max="18" width="18.109375" style="82" customWidth="1"/>
    <col min="19" max="19" width="24.44140625" style="82" customWidth="1"/>
    <col min="20" max="20" width="18.109375" style="82" customWidth="1"/>
    <col min="21" max="21" width="24.44140625" style="82" customWidth="1"/>
    <col min="22" max="26" width="23.6640625" style="82" customWidth="1"/>
    <col min="27" max="29" width="20.44140625" style="82" customWidth="1"/>
    <col min="30" max="30" width="14" style="82" customWidth="1"/>
    <col min="31" max="31" width="12.44140625" style="82" customWidth="1"/>
    <col min="32" max="32" width="11.5546875" style="82" customWidth="1"/>
    <col min="33" max="33" width="16" style="82" customWidth="1"/>
    <col min="34" max="16384" width="9.109375" style="82"/>
  </cols>
  <sheetData>
    <row r="2" spans="2:33" s="83" customFormat="1" ht="21.9" customHeight="1" x14ac:dyDescent="0.15">
      <c r="B2" s="2445" t="s">
        <v>3235</v>
      </c>
      <c r="C2" s="2446"/>
      <c r="D2" s="2446"/>
      <c r="E2" s="2446"/>
      <c r="F2" s="2446"/>
      <c r="G2" s="2446"/>
      <c r="H2" s="2446"/>
      <c r="I2" s="2446"/>
      <c r="J2" s="2446"/>
      <c r="K2" s="2446"/>
      <c r="L2" s="2446"/>
      <c r="M2" s="2446"/>
      <c r="N2" s="2446"/>
      <c r="O2" s="2446"/>
      <c r="P2" s="2446"/>
      <c r="Q2" s="2446"/>
      <c r="R2" s="2446"/>
      <c r="S2" s="2446"/>
      <c r="T2" s="2446"/>
      <c r="U2" s="2446"/>
      <c r="V2" s="2446"/>
      <c r="W2" s="2446"/>
      <c r="X2" s="2446"/>
      <c r="Y2" s="2446"/>
      <c r="Z2" s="2446"/>
      <c r="AA2" s="2446"/>
      <c r="AB2" s="2446"/>
      <c r="AC2" s="2446"/>
      <c r="AD2" s="2446"/>
      <c r="AE2" s="2446"/>
      <c r="AF2" s="2446"/>
      <c r="AG2" s="2447"/>
    </row>
    <row r="3" spans="2:33" ht="4.5" customHeight="1" x14ac:dyDescent="0.15">
      <c r="D3" s="84"/>
      <c r="E3" s="84"/>
      <c r="F3" s="85"/>
      <c r="G3" s="85"/>
      <c r="H3" s="85"/>
      <c r="I3" s="85"/>
    </row>
    <row r="4" spans="2:33" ht="15" customHeight="1" x14ac:dyDescent="0.15">
      <c r="C4" s="1135" t="s">
        <v>3140</v>
      </c>
      <c r="D4" s="1696"/>
      <c r="E4" s="1697"/>
      <c r="F4" s="85"/>
      <c r="H4" s="85"/>
      <c r="I4" s="85"/>
    </row>
    <row r="5" spans="2:33" ht="5.25" customHeight="1" x14ac:dyDescent="0.15">
      <c r="D5" s="87"/>
      <c r="E5" s="87"/>
    </row>
    <row r="6" spans="2:33" ht="22.5" customHeight="1" x14ac:dyDescent="0.2">
      <c r="B6" s="1159"/>
      <c r="C6" s="1160"/>
      <c r="D6" s="2448" t="s">
        <v>3141</v>
      </c>
      <c r="E6" s="2448"/>
      <c r="F6" s="2448"/>
      <c r="G6" s="2448"/>
      <c r="H6" s="2448"/>
      <c r="I6" s="2448"/>
      <c r="J6" s="2448"/>
      <c r="K6" s="2448"/>
      <c r="L6" s="2448"/>
      <c r="M6" s="2448"/>
      <c r="N6" s="2448"/>
      <c r="O6" s="2448"/>
      <c r="P6" s="2448"/>
      <c r="Q6" s="2448"/>
      <c r="R6" s="2448"/>
      <c r="S6" s="2448"/>
      <c r="T6" s="2448"/>
      <c r="U6" s="2448"/>
      <c r="V6" s="2448"/>
      <c r="W6" s="2448"/>
      <c r="X6" s="2448"/>
      <c r="Y6" s="2448"/>
      <c r="Z6" s="2448"/>
      <c r="AA6" s="2449"/>
      <c r="AB6" s="2449"/>
      <c r="AC6" s="2449"/>
      <c r="AD6" s="2450" t="s">
        <v>3142</v>
      </c>
      <c r="AE6" s="2451"/>
      <c r="AF6" s="2454" t="s">
        <v>3143</v>
      </c>
      <c r="AG6" s="2454" t="s">
        <v>3144</v>
      </c>
    </row>
    <row r="7" spans="2:33" ht="63" customHeight="1" x14ac:dyDescent="0.3">
      <c r="B7" s="1701"/>
      <c r="C7" s="1702"/>
      <c r="D7" s="2448" t="s">
        <v>3145</v>
      </c>
      <c r="E7" s="2448"/>
      <c r="F7" s="2448"/>
      <c r="G7" s="2448"/>
      <c r="H7" s="2448"/>
      <c r="I7" s="2448"/>
      <c r="J7" s="2448"/>
      <c r="K7" s="2448"/>
      <c r="L7" s="2448"/>
      <c r="M7" s="2448"/>
      <c r="N7" s="2448"/>
      <c r="O7" s="2448"/>
      <c r="P7" s="2456"/>
      <c r="Q7" s="2456"/>
      <c r="R7" s="2450" t="s">
        <v>3146</v>
      </c>
      <c r="S7" s="1160"/>
      <c r="T7" s="2450" t="s">
        <v>3147</v>
      </c>
      <c r="U7" s="1703"/>
      <c r="V7" s="1160"/>
      <c r="W7" s="2458" t="s">
        <v>3148</v>
      </c>
      <c r="X7" s="2449"/>
      <c r="Y7" s="2456"/>
      <c r="Z7" s="2456"/>
      <c r="AA7" s="2458" t="s">
        <v>3149</v>
      </c>
      <c r="AB7" s="2448"/>
      <c r="AC7" s="2449"/>
      <c r="AD7" s="2452"/>
      <c r="AE7" s="2453"/>
      <c r="AF7" s="2455"/>
      <c r="AG7" s="2455"/>
    </row>
    <row r="8" spans="2:33" ht="52.5" customHeight="1" x14ac:dyDescent="0.2">
      <c r="B8" s="1701"/>
      <c r="C8" s="1702"/>
      <c r="D8" s="2451" t="s">
        <v>3150</v>
      </c>
      <c r="E8" s="2454" t="s">
        <v>3151</v>
      </c>
      <c r="F8" s="2458" t="s">
        <v>3152</v>
      </c>
      <c r="G8" s="2448"/>
      <c r="H8" s="2448"/>
      <c r="I8" s="2448"/>
      <c r="J8" s="2448"/>
      <c r="K8" s="2448"/>
      <c r="L8" s="2448"/>
      <c r="M8" s="2448"/>
      <c r="N8" s="2448"/>
      <c r="O8" s="2462"/>
      <c r="P8" s="2450" t="s">
        <v>3153</v>
      </c>
      <c r="Q8" s="1704"/>
      <c r="R8" s="2457"/>
      <c r="S8" s="1162"/>
      <c r="T8" s="2457"/>
      <c r="U8" s="1705"/>
      <c r="V8" s="1162"/>
      <c r="W8" s="2458" t="s">
        <v>3154</v>
      </c>
      <c r="X8" s="2449"/>
      <c r="Y8" s="2452" t="s">
        <v>3155</v>
      </c>
      <c r="Z8" s="2459"/>
      <c r="AA8" s="2454" t="s">
        <v>3156</v>
      </c>
      <c r="AB8" s="2454" t="s">
        <v>3157</v>
      </c>
      <c r="AC8" s="2454" t="s">
        <v>3158</v>
      </c>
      <c r="AD8" s="2454" t="s">
        <v>3159</v>
      </c>
      <c r="AE8" s="2454" t="s">
        <v>3160</v>
      </c>
      <c r="AF8" s="2455"/>
      <c r="AG8" s="2455"/>
    </row>
    <row r="9" spans="2:33" ht="52.5" customHeight="1" x14ac:dyDescent="0.2">
      <c r="B9" s="1701"/>
      <c r="C9" s="1702"/>
      <c r="D9" s="2461"/>
      <c r="E9" s="2455"/>
      <c r="F9" s="2460" t="s">
        <v>3161</v>
      </c>
      <c r="G9" s="2460" t="s">
        <v>3162</v>
      </c>
      <c r="H9" s="2460" t="s">
        <v>3163</v>
      </c>
      <c r="I9" s="2460" t="s">
        <v>3164</v>
      </c>
      <c r="J9" s="2460" t="s">
        <v>3165</v>
      </c>
      <c r="K9" s="2460" t="s">
        <v>3166</v>
      </c>
      <c r="L9" s="2460" t="s">
        <v>3167</v>
      </c>
      <c r="M9" s="2460" t="s">
        <v>3168</v>
      </c>
      <c r="N9" s="2460" t="s">
        <v>3169</v>
      </c>
      <c r="O9" s="2460" t="s">
        <v>3170</v>
      </c>
      <c r="P9" s="2457"/>
      <c r="Q9" s="2454" t="s">
        <v>3171</v>
      </c>
      <c r="R9" s="2457"/>
      <c r="S9" s="2454" t="s">
        <v>3172</v>
      </c>
      <c r="T9" s="2457"/>
      <c r="U9" s="2460" t="s">
        <v>3173</v>
      </c>
      <c r="V9" s="2451" t="s">
        <v>3174</v>
      </c>
      <c r="W9" s="2454" t="s">
        <v>3175</v>
      </c>
      <c r="X9" s="2454" t="s">
        <v>3176</v>
      </c>
      <c r="Y9" s="2454" t="s">
        <v>3177</v>
      </c>
      <c r="Z9" s="2454" t="s">
        <v>3178</v>
      </c>
      <c r="AA9" s="2455"/>
      <c r="AB9" s="2455"/>
      <c r="AC9" s="2455"/>
      <c r="AD9" s="2455"/>
      <c r="AE9" s="2455"/>
      <c r="AF9" s="2455"/>
      <c r="AG9" s="2455"/>
    </row>
    <row r="10" spans="2:33" ht="122.25" customHeight="1" x14ac:dyDescent="0.2">
      <c r="B10" s="1161"/>
      <c r="C10" s="1162"/>
      <c r="D10" s="2461"/>
      <c r="E10" s="2455"/>
      <c r="F10" s="2460"/>
      <c r="G10" s="2460"/>
      <c r="H10" s="2460"/>
      <c r="I10" s="2460"/>
      <c r="J10" s="2460"/>
      <c r="K10" s="2460"/>
      <c r="L10" s="2460"/>
      <c r="M10" s="2460"/>
      <c r="N10" s="2460"/>
      <c r="O10" s="2460"/>
      <c r="P10" s="2452"/>
      <c r="Q10" s="2463"/>
      <c r="R10" s="2457"/>
      <c r="S10" s="2463"/>
      <c r="T10" s="2457"/>
      <c r="U10" s="2460"/>
      <c r="V10" s="2453"/>
      <c r="W10" s="2463"/>
      <c r="X10" s="2463"/>
      <c r="Y10" s="2463"/>
      <c r="Z10" s="2463"/>
      <c r="AA10" s="2467"/>
      <c r="AB10" s="2467"/>
      <c r="AC10" s="2467"/>
      <c r="AD10" s="2467"/>
      <c r="AE10" s="2467"/>
      <c r="AF10" s="2455"/>
      <c r="AG10" s="2455"/>
    </row>
    <row r="11" spans="2:33" ht="18" customHeight="1" x14ac:dyDescent="0.15">
      <c r="B11" s="1161"/>
      <c r="C11" s="1706"/>
      <c r="D11" s="1668" t="s">
        <v>3179</v>
      </c>
      <c r="E11" s="1668" t="s">
        <v>3180</v>
      </c>
      <c r="F11" s="1668" t="s">
        <v>3181</v>
      </c>
      <c r="G11" s="1668" t="s">
        <v>3182</v>
      </c>
      <c r="H11" s="1668" t="s">
        <v>3183</v>
      </c>
      <c r="I11" s="1668" t="s">
        <v>3184</v>
      </c>
      <c r="J11" s="1668" t="s">
        <v>3185</v>
      </c>
      <c r="K11" s="1668" t="s">
        <v>3186</v>
      </c>
      <c r="L11" s="1668" t="s">
        <v>3187</v>
      </c>
      <c r="M11" s="1668" t="s">
        <v>3188</v>
      </c>
      <c r="N11" s="1668" t="s">
        <v>3189</v>
      </c>
      <c r="O11" s="1668" t="s">
        <v>3190</v>
      </c>
      <c r="P11" s="1668" t="s">
        <v>3191</v>
      </c>
      <c r="Q11" s="1668" t="s">
        <v>3192</v>
      </c>
      <c r="R11" s="1668">
        <v>150</v>
      </c>
      <c r="S11" s="1668">
        <v>160</v>
      </c>
      <c r="T11" s="1668">
        <v>170</v>
      </c>
      <c r="U11" s="1668">
        <v>180</v>
      </c>
      <c r="V11" s="1668">
        <v>190</v>
      </c>
      <c r="W11" s="1668">
        <v>200</v>
      </c>
      <c r="X11" s="1668">
        <v>210</v>
      </c>
      <c r="Y11" s="1668">
        <v>220</v>
      </c>
      <c r="Z11" s="1668">
        <v>230</v>
      </c>
      <c r="AA11" s="1668">
        <v>240</v>
      </c>
      <c r="AB11" s="1668">
        <v>250</v>
      </c>
      <c r="AC11" s="1668">
        <v>260</v>
      </c>
      <c r="AD11" s="1668">
        <v>270</v>
      </c>
      <c r="AE11" s="1668">
        <v>280</v>
      </c>
      <c r="AF11" s="1668">
        <v>290</v>
      </c>
      <c r="AG11" s="1668">
        <v>300</v>
      </c>
    </row>
    <row r="12" spans="2:33" ht="15" customHeight="1" x14ac:dyDescent="0.15">
      <c r="B12" s="1136" t="s">
        <v>3193</v>
      </c>
      <c r="C12" s="1707" t="s">
        <v>3194</v>
      </c>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1778"/>
      <c r="AE12" s="1778"/>
      <c r="AF12" s="1778"/>
      <c r="AG12" s="86"/>
    </row>
    <row r="13" spans="2:33" ht="15" customHeight="1" x14ac:dyDescent="0.2">
      <c r="B13" s="2464" t="s">
        <v>3195</v>
      </c>
      <c r="C13" s="2465"/>
      <c r="D13" s="2465"/>
      <c r="E13" s="2465"/>
      <c r="F13" s="2465"/>
      <c r="G13" s="2465"/>
      <c r="H13" s="2465"/>
      <c r="I13" s="2465"/>
      <c r="J13" s="2465"/>
      <c r="K13" s="2465"/>
      <c r="L13" s="2465"/>
      <c r="M13" s="2465"/>
      <c r="N13" s="2465"/>
      <c r="O13" s="2465"/>
      <c r="P13" s="2465"/>
      <c r="Q13" s="2465"/>
      <c r="R13" s="2465"/>
      <c r="S13" s="2465"/>
      <c r="T13" s="2465"/>
      <c r="U13" s="2465"/>
      <c r="V13" s="2465"/>
      <c r="W13" s="2465"/>
      <c r="X13" s="2465"/>
      <c r="Y13" s="2465"/>
      <c r="Z13" s="2465"/>
      <c r="AA13" s="2465"/>
      <c r="AB13" s="2465"/>
      <c r="AC13" s="2465"/>
      <c r="AD13" s="2465"/>
      <c r="AE13" s="2465"/>
      <c r="AF13" s="2465"/>
      <c r="AG13" s="2466"/>
    </row>
    <row r="14" spans="2:33" ht="15" customHeight="1" x14ac:dyDescent="0.2">
      <c r="B14" s="1668" t="s">
        <v>3196</v>
      </c>
      <c r="C14" s="1708" t="s">
        <v>3197</v>
      </c>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1698"/>
      <c r="AE14" s="1698"/>
      <c r="AF14" s="1778"/>
      <c r="AG14" s="1778"/>
    </row>
    <row r="15" spans="2:33" ht="15" customHeight="1" x14ac:dyDescent="0.15">
      <c r="B15" s="1136" t="s">
        <v>3198</v>
      </c>
      <c r="C15" s="1709" t="s">
        <v>3199</v>
      </c>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1698"/>
      <c r="AE15" s="1698"/>
      <c r="AF15" s="1778"/>
      <c r="AG15" s="1778"/>
    </row>
    <row r="16" spans="2:33" ht="15" customHeight="1" x14ac:dyDescent="0.15">
      <c r="B16" s="1136" t="s">
        <v>3200</v>
      </c>
      <c r="C16" s="1710" t="s">
        <v>3201</v>
      </c>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1698"/>
      <c r="AE16" s="1698"/>
      <c r="AF16" s="1778"/>
      <c r="AG16" s="1778"/>
    </row>
    <row r="17" spans="2:33" ht="15" customHeight="1" x14ac:dyDescent="0.2">
      <c r="B17" s="1668" t="s">
        <v>3202</v>
      </c>
      <c r="C17" s="1710" t="s">
        <v>3203</v>
      </c>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1698"/>
      <c r="AE17" s="1698"/>
      <c r="AF17" s="1778"/>
      <c r="AG17" s="1778"/>
    </row>
    <row r="18" spans="2:33" ht="15" customHeight="1" x14ac:dyDescent="0.2">
      <c r="B18" s="1136" t="s">
        <v>3204</v>
      </c>
      <c r="C18" s="1710" t="s">
        <v>3205</v>
      </c>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1698"/>
      <c r="AE18" s="1698"/>
      <c r="AF18" s="1778"/>
      <c r="AG18" s="1778"/>
    </row>
    <row r="19" spans="2:33" ht="15" customHeight="1" x14ac:dyDescent="0.15">
      <c r="B19" s="1136" t="s">
        <v>3206</v>
      </c>
      <c r="C19" s="1710" t="s">
        <v>3207</v>
      </c>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1698"/>
      <c r="AE19" s="1698"/>
      <c r="AF19" s="1778"/>
      <c r="AG19" s="1778"/>
    </row>
    <row r="20" spans="2:33" ht="15" customHeight="1" x14ac:dyDescent="0.15">
      <c r="B20" s="1668" t="s">
        <v>3208</v>
      </c>
      <c r="C20" s="1709" t="s">
        <v>3209</v>
      </c>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1698"/>
      <c r="AE20" s="1698"/>
      <c r="AF20" s="1778"/>
      <c r="AG20" s="1778"/>
    </row>
    <row r="21" spans="2:33" ht="15" customHeight="1" x14ac:dyDescent="0.15">
      <c r="B21" s="1136" t="s">
        <v>3210</v>
      </c>
      <c r="C21" s="1710" t="s">
        <v>3211</v>
      </c>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1698"/>
      <c r="AE21" s="1698"/>
      <c r="AF21" s="1778"/>
      <c r="AG21" s="1778"/>
    </row>
    <row r="22" spans="2:33" s="29" customFormat="1" ht="13.8" x14ac:dyDescent="0.25">
      <c r="B22" s="1136" t="s">
        <v>3212</v>
      </c>
      <c r="C22" s="1710" t="s">
        <v>3213</v>
      </c>
      <c r="D22" s="1779"/>
      <c r="E22" s="1779"/>
      <c r="F22" s="1779"/>
      <c r="G22" s="1779"/>
      <c r="H22" s="1779"/>
      <c r="I22" s="1779"/>
      <c r="J22" s="1779"/>
      <c r="K22" s="1779"/>
      <c r="L22" s="1779"/>
      <c r="M22" s="1779"/>
      <c r="N22" s="1779"/>
      <c r="O22" s="1779"/>
      <c r="P22" s="1779"/>
      <c r="Q22" s="1779"/>
      <c r="R22" s="1779"/>
      <c r="S22" s="1779"/>
      <c r="T22" s="1779"/>
      <c r="U22" s="1779"/>
      <c r="V22" s="1779"/>
      <c r="W22" s="1779"/>
      <c r="X22" s="1779"/>
      <c r="Y22" s="1779"/>
      <c r="Z22" s="1779"/>
      <c r="AA22" s="1779"/>
      <c r="AB22" s="1779"/>
      <c r="AC22" s="1779"/>
      <c r="AD22" s="1699"/>
      <c r="AE22" s="1699"/>
      <c r="AF22" s="1780"/>
      <c r="AG22" s="1780"/>
    </row>
    <row r="23" spans="2:33" s="29" customFormat="1" ht="13.8" x14ac:dyDescent="0.25">
      <c r="B23" s="1668" t="s">
        <v>3214</v>
      </c>
      <c r="C23" s="1710" t="s">
        <v>3215</v>
      </c>
      <c r="D23" s="1779"/>
      <c r="E23" s="1779"/>
      <c r="F23" s="1779"/>
      <c r="G23" s="1779"/>
      <c r="H23" s="1779"/>
      <c r="I23" s="1779"/>
      <c r="J23" s="1779"/>
      <c r="K23" s="1779"/>
      <c r="L23" s="1779"/>
      <c r="M23" s="1779"/>
      <c r="N23" s="1779"/>
      <c r="O23" s="1779"/>
      <c r="P23" s="1779"/>
      <c r="Q23" s="1779"/>
      <c r="R23" s="1779"/>
      <c r="S23" s="1779"/>
      <c r="T23" s="1779"/>
      <c r="U23" s="1779"/>
      <c r="V23" s="1779"/>
      <c r="W23" s="1779"/>
      <c r="X23" s="1779"/>
      <c r="Y23" s="1779"/>
      <c r="Z23" s="1779"/>
      <c r="AA23" s="1779"/>
      <c r="AB23" s="1779"/>
      <c r="AC23" s="1779"/>
      <c r="AD23" s="1699"/>
      <c r="AE23" s="1699"/>
      <c r="AF23" s="1780"/>
      <c r="AG23" s="1780"/>
    </row>
    <row r="24" spans="2:33" s="29" customFormat="1" ht="13.8" x14ac:dyDescent="0.25">
      <c r="B24" s="1136" t="s">
        <v>3216</v>
      </c>
      <c r="C24" s="1710" t="s">
        <v>3217</v>
      </c>
      <c r="D24" s="1779"/>
      <c r="E24" s="1779"/>
      <c r="F24" s="1779"/>
      <c r="G24" s="1779"/>
      <c r="H24" s="1779"/>
      <c r="I24" s="1779"/>
      <c r="J24" s="1779"/>
      <c r="K24" s="1779"/>
      <c r="L24" s="1779"/>
      <c r="M24" s="1779"/>
      <c r="N24" s="1779"/>
      <c r="O24" s="1779"/>
      <c r="P24" s="1779"/>
      <c r="Q24" s="1779"/>
      <c r="R24" s="1779"/>
      <c r="S24" s="1779"/>
      <c r="T24" s="1779"/>
      <c r="U24" s="1779"/>
      <c r="V24" s="1779"/>
      <c r="W24" s="1779"/>
      <c r="X24" s="1779"/>
      <c r="Y24" s="1779"/>
      <c r="Z24" s="1779"/>
      <c r="AA24" s="1779"/>
      <c r="AB24" s="1779"/>
      <c r="AC24" s="1779"/>
      <c r="AD24" s="1699"/>
      <c r="AE24" s="1699"/>
      <c r="AF24" s="1780"/>
      <c r="AG24" s="1780"/>
    </row>
    <row r="25" spans="2:33" s="29" customFormat="1" ht="13.8" x14ac:dyDescent="0.25">
      <c r="B25" s="1136" t="s">
        <v>3218</v>
      </c>
      <c r="C25" s="1710" t="s">
        <v>3219</v>
      </c>
      <c r="D25" s="1779"/>
      <c r="E25" s="1779"/>
      <c r="F25" s="1779"/>
      <c r="G25" s="1779"/>
      <c r="H25" s="1779"/>
      <c r="I25" s="1779"/>
      <c r="J25" s="1779"/>
      <c r="K25" s="1779"/>
      <c r="L25" s="1779"/>
      <c r="M25" s="1779"/>
      <c r="N25" s="1779"/>
      <c r="O25" s="1779"/>
      <c r="P25" s="1779"/>
      <c r="Q25" s="1779"/>
      <c r="R25" s="1779"/>
      <c r="S25" s="1779"/>
      <c r="T25" s="1779"/>
      <c r="U25" s="1779"/>
      <c r="V25" s="1779"/>
      <c r="W25" s="1779"/>
      <c r="X25" s="1779"/>
      <c r="Y25" s="1779"/>
      <c r="Z25" s="1779"/>
      <c r="AA25" s="1779"/>
      <c r="AB25" s="1779"/>
      <c r="AC25" s="1779"/>
      <c r="AD25" s="1699"/>
      <c r="AE25" s="1699"/>
      <c r="AF25" s="1780"/>
      <c r="AG25" s="1780"/>
    </row>
    <row r="26" spans="2:33" s="29" customFormat="1" ht="14.25" x14ac:dyDescent="0.2">
      <c r="B26" s="1668" t="s">
        <v>3220</v>
      </c>
      <c r="C26" s="1710" t="s">
        <v>3221</v>
      </c>
      <c r="D26" s="1779"/>
      <c r="E26" s="1779"/>
      <c r="F26" s="1779"/>
      <c r="G26" s="1779"/>
      <c r="H26" s="1779"/>
      <c r="I26" s="1779"/>
      <c r="J26" s="1779"/>
      <c r="K26" s="1779"/>
      <c r="L26" s="1779"/>
      <c r="M26" s="1779"/>
      <c r="N26" s="1779"/>
      <c r="O26" s="1779"/>
      <c r="P26" s="1779"/>
      <c r="Q26" s="1779"/>
      <c r="R26" s="1779"/>
      <c r="S26" s="1779"/>
      <c r="T26" s="1779"/>
      <c r="U26" s="1779"/>
      <c r="V26" s="1779"/>
      <c r="W26" s="1779"/>
      <c r="X26" s="1779"/>
      <c r="Y26" s="1779"/>
      <c r="Z26" s="1779"/>
      <c r="AA26" s="1779"/>
      <c r="AB26" s="1779"/>
      <c r="AC26" s="1779"/>
      <c r="AD26" s="1699"/>
      <c r="AE26" s="1699"/>
      <c r="AF26" s="1780"/>
      <c r="AG26" s="1780"/>
    </row>
    <row r="27" spans="2:33" s="29" customFormat="1" ht="13.8" x14ac:dyDescent="0.25">
      <c r="B27" s="1136" t="s">
        <v>3222</v>
      </c>
      <c r="C27" s="1710" t="s">
        <v>3223</v>
      </c>
      <c r="D27" s="1779"/>
      <c r="E27" s="1779"/>
      <c r="F27" s="1779"/>
      <c r="G27" s="1779"/>
      <c r="H27" s="1779"/>
      <c r="I27" s="1779"/>
      <c r="J27" s="1779"/>
      <c r="K27" s="1779"/>
      <c r="L27" s="1779"/>
      <c r="M27" s="1779"/>
      <c r="N27" s="1779"/>
      <c r="O27" s="1779"/>
      <c r="P27" s="1779"/>
      <c r="Q27" s="1779"/>
      <c r="R27" s="1779"/>
      <c r="S27" s="1779"/>
      <c r="T27" s="1779"/>
      <c r="U27" s="1779"/>
      <c r="V27" s="1779"/>
      <c r="W27" s="1779"/>
      <c r="X27" s="1779"/>
      <c r="Y27" s="1779"/>
      <c r="Z27" s="1779"/>
      <c r="AA27" s="1779"/>
      <c r="AB27" s="1779"/>
      <c r="AC27" s="1779"/>
      <c r="AD27" s="1699"/>
      <c r="AE27" s="1699"/>
      <c r="AF27" s="1780"/>
      <c r="AG27" s="1780"/>
    </row>
    <row r="28" spans="2:33" s="29" customFormat="1" ht="13.8" x14ac:dyDescent="0.25">
      <c r="B28" s="1668" t="s">
        <v>3224</v>
      </c>
      <c r="C28" s="1708" t="s">
        <v>3225</v>
      </c>
      <c r="D28" s="1779"/>
      <c r="E28" s="1779"/>
      <c r="F28" s="1779"/>
      <c r="G28" s="1779"/>
      <c r="H28" s="1779"/>
      <c r="I28" s="1779"/>
      <c r="J28" s="1779"/>
      <c r="K28" s="1779"/>
      <c r="L28" s="1779"/>
      <c r="M28" s="1779"/>
      <c r="N28" s="1779"/>
      <c r="O28" s="1779"/>
      <c r="P28" s="1779"/>
      <c r="Q28" s="1779"/>
      <c r="R28" s="1779"/>
      <c r="S28" s="1779"/>
      <c r="T28" s="1779"/>
      <c r="U28" s="1779"/>
      <c r="V28" s="1779"/>
      <c r="W28" s="1779"/>
      <c r="X28" s="1779"/>
      <c r="Y28" s="1779"/>
      <c r="Z28" s="1779"/>
      <c r="AA28" s="1779"/>
      <c r="AB28" s="1779"/>
      <c r="AC28" s="1779"/>
      <c r="AD28" s="1699"/>
      <c r="AE28" s="1699"/>
      <c r="AF28" s="1699"/>
      <c r="AG28" s="1699"/>
    </row>
    <row r="29" spans="2:33" s="29" customFormat="1" ht="13.8" x14ac:dyDescent="0.25">
      <c r="B29" s="2464" t="s">
        <v>3226</v>
      </c>
      <c r="C29" s="2465"/>
      <c r="D29" s="2465"/>
      <c r="E29" s="2465"/>
      <c r="F29" s="2465"/>
      <c r="G29" s="2465"/>
      <c r="H29" s="2465"/>
      <c r="I29" s="2465"/>
      <c r="J29" s="2465"/>
      <c r="K29" s="2465"/>
      <c r="L29" s="2465"/>
      <c r="M29" s="2465"/>
      <c r="N29" s="2465"/>
      <c r="O29" s="2465"/>
      <c r="P29" s="2465"/>
      <c r="Q29" s="2465"/>
      <c r="R29" s="2465"/>
      <c r="S29" s="2465"/>
      <c r="T29" s="2465"/>
      <c r="U29" s="2465"/>
      <c r="V29" s="2465"/>
      <c r="W29" s="2465"/>
      <c r="X29" s="2465"/>
      <c r="Y29" s="2465"/>
      <c r="Z29" s="2465"/>
      <c r="AA29" s="2465"/>
      <c r="AB29" s="2465"/>
      <c r="AC29" s="2465"/>
      <c r="AD29" s="2465"/>
      <c r="AE29" s="2465"/>
      <c r="AF29" s="2465"/>
      <c r="AG29" s="2466"/>
    </row>
    <row r="30" spans="2:33" s="29" customFormat="1" ht="14.25" x14ac:dyDescent="0.2">
      <c r="B30" s="1668">
        <v>170</v>
      </c>
      <c r="C30" s="1709" t="s">
        <v>3227</v>
      </c>
      <c r="D30" s="1779"/>
      <c r="E30" s="1779"/>
      <c r="F30" s="1779"/>
      <c r="G30" s="1779"/>
      <c r="H30" s="1779"/>
      <c r="I30" s="1779"/>
      <c r="J30" s="1779"/>
      <c r="K30" s="1779"/>
      <c r="L30" s="1779"/>
      <c r="M30" s="1779"/>
      <c r="N30" s="1779"/>
      <c r="O30" s="1779"/>
      <c r="P30" s="1779"/>
      <c r="Q30" s="1779"/>
      <c r="R30" s="1779"/>
      <c r="S30" s="1779"/>
      <c r="T30" s="1779"/>
      <c r="U30" s="1779"/>
      <c r="V30" s="1779"/>
      <c r="W30" s="1779"/>
      <c r="X30" s="1779"/>
      <c r="Y30" s="1779"/>
      <c r="Z30" s="1779"/>
      <c r="AA30" s="1779"/>
      <c r="AB30" s="1779"/>
      <c r="AC30" s="1779"/>
      <c r="AD30" s="1780"/>
      <c r="AE30" s="1780"/>
      <c r="AF30" s="1699"/>
      <c r="AG30" s="1699"/>
    </row>
    <row r="31" spans="2:33" s="29" customFormat="1" ht="14.25" x14ac:dyDescent="0.2">
      <c r="B31" s="1668">
        <v>180</v>
      </c>
      <c r="C31" s="1709" t="s">
        <v>3228</v>
      </c>
      <c r="D31" s="1779"/>
      <c r="E31" s="1779"/>
      <c r="F31" s="1779"/>
      <c r="G31" s="1779"/>
      <c r="H31" s="1779"/>
      <c r="I31" s="1779"/>
      <c r="J31" s="1779"/>
      <c r="K31" s="1779"/>
      <c r="L31" s="1779"/>
      <c r="M31" s="1779"/>
      <c r="N31" s="1779"/>
      <c r="O31" s="1779"/>
      <c r="P31" s="1779"/>
      <c r="Q31" s="1779"/>
      <c r="R31" s="1779"/>
      <c r="S31" s="1779"/>
      <c r="T31" s="1779"/>
      <c r="U31" s="1779"/>
      <c r="V31" s="1779"/>
      <c r="W31" s="1779"/>
      <c r="X31" s="1779"/>
      <c r="Y31" s="1779"/>
      <c r="Z31" s="1779"/>
      <c r="AA31" s="1779"/>
      <c r="AB31" s="1779"/>
      <c r="AC31" s="1779"/>
      <c r="AD31" s="1780"/>
      <c r="AE31" s="1780"/>
      <c r="AF31" s="1699"/>
      <c r="AG31" s="1699"/>
    </row>
    <row r="32" spans="2:33" s="29" customFormat="1" ht="14.25" x14ac:dyDescent="0.2">
      <c r="B32" s="1668">
        <v>190</v>
      </c>
      <c r="C32" s="1709" t="s">
        <v>3229</v>
      </c>
      <c r="D32" s="1779"/>
      <c r="E32" s="1779"/>
      <c r="F32" s="1779"/>
      <c r="G32" s="1779"/>
      <c r="H32" s="1779"/>
      <c r="I32" s="1779"/>
      <c r="J32" s="1779"/>
      <c r="K32" s="1779"/>
      <c r="L32" s="1779"/>
      <c r="M32" s="1779"/>
      <c r="N32" s="1779"/>
      <c r="O32" s="1779"/>
      <c r="P32" s="1779"/>
      <c r="Q32" s="1779"/>
      <c r="R32" s="1779"/>
      <c r="S32" s="1779"/>
      <c r="T32" s="1779"/>
      <c r="U32" s="1779"/>
      <c r="V32" s="1779"/>
      <c r="W32" s="1779"/>
      <c r="X32" s="1779"/>
      <c r="Y32" s="1779"/>
      <c r="Z32" s="1779"/>
      <c r="AA32" s="1779"/>
      <c r="AB32" s="1779"/>
      <c r="AC32" s="1779"/>
      <c r="AD32" s="1780"/>
      <c r="AE32" s="1780"/>
      <c r="AF32" s="1699"/>
      <c r="AG32" s="1699"/>
    </row>
    <row r="33" spans="2:33" s="29" customFormat="1" ht="14.25" x14ac:dyDescent="0.2">
      <c r="B33" s="1668">
        <v>200</v>
      </c>
      <c r="C33" s="1709" t="s">
        <v>3230</v>
      </c>
      <c r="D33" s="1779"/>
      <c r="E33" s="1779"/>
      <c r="F33" s="1779"/>
      <c r="G33" s="1779"/>
      <c r="H33" s="1779"/>
      <c r="I33" s="1779"/>
      <c r="J33" s="1779"/>
      <c r="K33" s="1779"/>
      <c r="L33" s="1779"/>
      <c r="M33" s="1779"/>
      <c r="N33" s="1779"/>
      <c r="O33" s="1779"/>
      <c r="P33" s="1779"/>
      <c r="Q33" s="1779"/>
      <c r="R33" s="1779"/>
      <c r="S33" s="1779"/>
      <c r="T33" s="1779"/>
      <c r="U33" s="1779"/>
      <c r="V33" s="1779"/>
      <c r="W33" s="1779"/>
      <c r="X33" s="1779"/>
      <c r="Y33" s="1779"/>
      <c r="Z33" s="1779"/>
      <c r="AA33" s="1779"/>
      <c r="AB33" s="1779"/>
      <c r="AC33" s="1779"/>
      <c r="AD33" s="1780"/>
      <c r="AE33" s="1780"/>
      <c r="AF33" s="1699"/>
      <c r="AG33" s="1699"/>
    </row>
    <row r="34" spans="2:33" s="29" customFormat="1" ht="14.25" x14ac:dyDescent="0.2">
      <c r="B34" s="1668">
        <v>210</v>
      </c>
      <c r="C34" s="1709" t="s">
        <v>3231</v>
      </c>
      <c r="D34" s="1779"/>
      <c r="E34" s="1779"/>
      <c r="F34" s="1779"/>
      <c r="G34" s="1779"/>
      <c r="H34" s="1779"/>
      <c r="I34" s="1779"/>
      <c r="J34" s="1779"/>
      <c r="K34" s="1779"/>
      <c r="L34" s="1779"/>
      <c r="M34" s="1779"/>
      <c r="N34" s="1779"/>
      <c r="O34" s="1779"/>
      <c r="P34" s="1779"/>
      <c r="Q34" s="1779"/>
      <c r="R34" s="1779"/>
      <c r="S34" s="1779"/>
      <c r="T34" s="1779"/>
      <c r="U34" s="1779"/>
      <c r="V34" s="1779"/>
      <c r="W34" s="1779"/>
      <c r="X34" s="1779"/>
      <c r="Y34" s="1779"/>
      <c r="Z34" s="1779"/>
      <c r="AA34" s="1779"/>
      <c r="AB34" s="1779"/>
      <c r="AC34" s="1779"/>
      <c r="AD34" s="1780"/>
      <c r="AE34" s="1780"/>
      <c r="AF34" s="1699"/>
      <c r="AG34" s="1699"/>
    </row>
    <row r="35" spans="2:33" s="29" customFormat="1" ht="14.25" x14ac:dyDescent="0.2">
      <c r="B35" s="1668">
        <v>220</v>
      </c>
      <c r="C35" s="1709" t="s">
        <v>3232</v>
      </c>
      <c r="D35" s="1779"/>
      <c r="E35" s="1779"/>
      <c r="F35" s="1779"/>
      <c r="G35" s="1779"/>
      <c r="H35" s="1779"/>
      <c r="I35" s="1779"/>
      <c r="J35" s="1779"/>
      <c r="K35" s="1779"/>
      <c r="L35" s="1779"/>
      <c r="M35" s="1779"/>
      <c r="N35" s="1779"/>
      <c r="O35" s="1779"/>
      <c r="P35" s="1779"/>
      <c r="Q35" s="1779"/>
      <c r="R35" s="1779"/>
      <c r="S35" s="1779"/>
      <c r="T35" s="1779"/>
      <c r="U35" s="1779"/>
      <c r="V35" s="1779"/>
      <c r="W35" s="1779"/>
      <c r="X35" s="1779"/>
      <c r="Y35" s="1779"/>
      <c r="Z35" s="1779"/>
      <c r="AA35" s="1779"/>
      <c r="AB35" s="1779"/>
      <c r="AC35" s="1779"/>
      <c r="AD35" s="1780"/>
      <c r="AE35" s="1780"/>
      <c r="AF35" s="1699"/>
      <c r="AG35" s="1699"/>
    </row>
    <row r="36" spans="2:33" s="29" customFormat="1" ht="13.8" x14ac:dyDescent="0.25">
      <c r="B36" s="1668">
        <v>230</v>
      </c>
      <c r="C36" s="1709" t="s">
        <v>3233</v>
      </c>
      <c r="D36" s="1779"/>
      <c r="E36" s="1779"/>
      <c r="F36" s="1779"/>
      <c r="G36" s="1779"/>
      <c r="H36" s="1779"/>
      <c r="I36" s="1779"/>
      <c r="J36" s="1779"/>
      <c r="K36" s="1779"/>
      <c r="L36" s="1779"/>
      <c r="M36" s="1779"/>
      <c r="N36" s="1779"/>
      <c r="O36" s="1779"/>
      <c r="P36" s="1779"/>
      <c r="Q36" s="1779"/>
      <c r="R36" s="1779"/>
      <c r="S36" s="1779"/>
      <c r="T36" s="1779"/>
      <c r="U36" s="1779"/>
      <c r="V36" s="1779"/>
      <c r="W36" s="1779"/>
      <c r="X36" s="1779"/>
      <c r="Y36" s="1779"/>
      <c r="Z36" s="1779"/>
      <c r="AA36" s="1779"/>
      <c r="AB36" s="1779"/>
      <c r="AC36" s="1779"/>
      <c r="AD36" s="1780"/>
      <c r="AE36" s="1780"/>
      <c r="AF36" s="1699"/>
      <c r="AG36" s="1699"/>
    </row>
    <row r="37" spans="2:33" s="29" customFormat="1" ht="14.25" x14ac:dyDescent="0.2"/>
    <row r="38" spans="2:33" s="29" customFormat="1" ht="14.25" x14ac:dyDescent="0.2"/>
    <row r="39" spans="2:33" s="29" customFormat="1" ht="14.25" x14ac:dyDescent="0.2"/>
    <row r="40" spans="2:33" s="29" customFormat="1" ht="14.25" x14ac:dyDescent="0.2"/>
    <row r="41" spans="2:33" s="29" customFormat="1" ht="14.25" x14ac:dyDescent="0.2"/>
    <row r="42" spans="2:33" s="29" customFormat="1" ht="14.25" x14ac:dyDescent="0.2"/>
    <row r="43" spans="2:33" s="29" customFormat="1" ht="14.25" x14ac:dyDescent="0.2"/>
    <row r="44" spans="2:33" s="29" customFormat="1" ht="14.25" x14ac:dyDescent="0.2"/>
    <row r="45" spans="2:33" s="29" customFormat="1" ht="14.25" x14ac:dyDescent="0.2"/>
    <row r="46" spans="2:33" s="29" customFormat="1" ht="14.25" x14ac:dyDescent="0.2"/>
    <row r="47" spans="2:33" s="29" customFormat="1" ht="14.25" x14ac:dyDescent="0.2"/>
    <row r="48" spans="2:33" s="29" customFormat="1" ht="14.25" x14ac:dyDescent="0.2"/>
    <row r="49" spans="8:29" s="29" customFormat="1" ht="14.25" x14ac:dyDescent="0.2"/>
    <row r="50" spans="8:29" s="29" customFormat="1" ht="14.25" x14ac:dyDescent="0.2"/>
    <row r="51" spans="8:29" s="29" customFormat="1" ht="14.25" x14ac:dyDescent="0.2"/>
    <row r="52" spans="8:29" s="29" customFormat="1" ht="14.25" x14ac:dyDescent="0.2"/>
    <row r="53" spans="8:29" ht="14.25" x14ac:dyDescent="0.2">
      <c r="H53" s="29"/>
      <c r="I53" s="29"/>
      <c r="J53" s="29"/>
      <c r="K53" s="29"/>
      <c r="L53" s="29"/>
      <c r="M53" s="29"/>
      <c r="N53" s="29"/>
      <c r="O53" s="29"/>
      <c r="P53" s="29"/>
      <c r="Q53" s="29"/>
      <c r="R53" s="29"/>
      <c r="S53" s="29"/>
      <c r="T53" s="29"/>
      <c r="U53" s="29"/>
      <c r="V53" s="29"/>
      <c r="W53" s="29"/>
      <c r="X53" s="29"/>
      <c r="Y53" s="29"/>
      <c r="Z53" s="29"/>
      <c r="AA53" s="29"/>
      <c r="AB53" s="29"/>
      <c r="AC53" s="29"/>
    </row>
  </sheetData>
  <mergeCells count="41">
    <mergeCell ref="Y9:Y10"/>
    <mergeCell ref="Z9:Z10"/>
    <mergeCell ref="B13:AG13"/>
    <mergeCell ref="B29:AG29"/>
    <mergeCell ref="O9:O10"/>
    <mergeCell ref="Q9:Q10"/>
    <mergeCell ref="S9:S10"/>
    <mergeCell ref="U9:U10"/>
    <mergeCell ref="V9:V10"/>
    <mergeCell ref="W9:W10"/>
    <mergeCell ref="AA8:AA10"/>
    <mergeCell ref="AB8:AB10"/>
    <mergeCell ref="AC8:AC10"/>
    <mergeCell ref="AD8:AD10"/>
    <mergeCell ref="AE8:AE10"/>
    <mergeCell ref="E8:E10"/>
    <mergeCell ref="F8:O8"/>
    <mergeCell ref="P8:P10"/>
    <mergeCell ref="W8:X8"/>
    <mergeCell ref="F9:F10"/>
    <mergeCell ref="G9:G10"/>
    <mergeCell ref="H9:H10"/>
    <mergeCell ref="I9:I10"/>
    <mergeCell ref="J9:J10"/>
    <mergeCell ref="X9:X10"/>
    <mergeCell ref="B2:AG2"/>
    <mergeCell ref="D6:AC6"/>
    <mergeCell ref="AD6:AE7"/>
    <mergeCell ref="AF6:AF10"/>
    <mergeCell ref="AG6:AG10"/>
    <mergeCell ref="D7:Q7"/>
    <mergeCell ref="R7:R10"/>
    <mergeCell ref="T7:T10"/>
    <mergeCell ref="W7:Z7"/>
    <mergeCell ref="AA7:AC7"/>
    <mergeCell ref="Y8:Z8"/>
    <mergeCell ref="K9:K10"/>
    <mergeCell ref="L9:L10"/>
    <mergeCell ref="M9:M10"/>
    <mergeCell ref="N9:N10"/>
    <mergeCell ref="D8:D10"/>
  </mergeCells>
  <pageMargins left="0.70866141732283472" right="0.70866141732283472" top="0.74803149606299213" bottom="0.74803149606299213" header="0.31496062992125984" footer="0.31496062992125984"/>
  <pageSetup paperSize="8" scale="28" orientation="landscape" r:id="rId1"/>
  <headerFooter>
    <oddHeader>&amp;CFR
ANNEXE I</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33</vt:i4>
      </vt:variant>
      <vt:variant>
        <vt:lpstr>Named Ranges</vt:lpstr>
      </vt:variant>
      <vt:variant>
        <vt:i4>29</vt:i4>
      </vt:variant>
    </vt:vector>
  </HeadingPairs>
  <TitlesOfParts>
    <vt:vector size="62" baseType="lpstr">
      <vt:lpstr>Index</vt:lpstr>
      <vt:lpstr>1</vt:lpstr>
      <vt:lpstr>2</vt:lpstr>
      <vt:lpstr>3</vt:lpstr>
      <vt:lpstr>4</vt:lpstr>
      <vt:lpstr>5.1</vt:lpstr>
      <vt:lpstr>5.2</vt:lpstr>
      <vt:lpstr>6.1</vt:lpstr>
      <vt:lpstr>6.2</vt:lpstr>
      <vt:lpstr>7</vt:lpstr>
      <vt:lpstr>8.1</vt:lpstr>
      <vt:lpstr>8.2</vt:lpstr>
      <vt:lpstr>9.1</vt:lpstr>
      <vt:lpstr>9.2</vt:lpstr>
      <vt:lpstr>9.4</vt:lpstr>
      <vt:lpstr>10.1</vt:lpstr>
      <vt:lpstr>10.2</vt:lpstr>
      <vt:lpstr>11</vt:lpstr>
      <vt:lpstr>12</vt:lpstr>
      <vt:lpstr>13</vt:lpstr>
      <vt:lpstr>14</vt:lpstr>
      <vt:lpstr>16</vt:lpstr>
      <vt:lpstr>17.01</vt:lpstr>
      <vt:lpstr>17.02</vt:lpstr>
      <vt:lpstr>18 </vt:lpstr>
      <vt:lpstr>19</vt:lpstr>
      <vt:lpstr>20</vt:lpstr>
      <vt:lpstr>21</vt:lpstr>
      <vt:lpstr>22</vt:lpstr>
      <vt:lpstr>23</vt:lpstr>
      <vt:lpstr>24</vt:lpstr>
      <vt:lpstr>25</vt:lpstr>
      <vt:lpstr>33</vt:lpstr>
      <vt:lpstr>'1'!Print_Area</vt:lpstr>
      <vt:lpstr>'12'!Print_Area</vt:lpstr>
      <vt:lpstr>'13'!Print_Area</vt:lpstr>
      <vt:lpstr>'14'!Print_Area</vt:lpstr>
      <vt:lpstr>'18 '!Print_Area</vt:lpstr>
      <vt:lpstr>'19'!Print_Area</vt:lpstr>
      <vt:lpstr>'2'!Print_Area</vt:lpstr>
      <vt:lpstr>'20'!Print_Area</vt:lpstr>
      <vt:lpstr>'24'!Print_Area</vt:lpstr>
      <vt:lpstr>'4'!Print_Area</vt:lpstr>
      <vt:lpstr>'5.1'!Print_Area</vt:lpstr>
      <vt:lpstr>'5.2'!Print_Area</vt:lpstr>
      <vt:lpstr>'6.1'!Print_Area</vt:lpstr>
      <vt:lpstr>'6.2'!Print_Area</vt:lpstr>
      <vt:lpstr>'7'!Print_Area</vt:lpstr>
      <vt:lpstr>'8.1'!Print_Area</vt:lpstr>
      <vt:lpstr>'8.2'!Print_Area</vt:lpstr>
      <vt:lpstr>'1'!Print_Titles</vt:lpstr>
      <vt:lpstr>'12'!Print_Titles</vt:lpstr>
      <vt:lpstr>'13'!Print_Titles</vt:lpstr>
      <vt:lpstr>'18 '!Print_Titles</vt:lpstr>
      <vt:lpstr>'19'!Print_Titles</vt:lpstr>
      <vt:lpstr>'2'!Print_Titles</vt:lpstr>
      <vt:lpstr>'24'!Print_Titles</vt:lpstr>
      <vt:lpstr>'4'!Print_Titles</vt:lpstr>
      <vt:lpstr>'5.1'!Print_Titles</vt:lpstr>
      <vt:lpstr>'5.2'!Print_Titles</vt:lpstr>
      <vt:lpstr>'7'!Print_Titles</vt:lpstr>
      <vt:lpstr>'8.1'!Print_Titles</vt:lpstr>
    </vt:vector>
  </TitlesOfParts>
  <Company>Banco de España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Wolfgang Strohbach</dc:creator>
  <cp:lastModifiedBy>BENT BOUDJEMAA Atika (DGT)</cp:lastModifiedBy>
  <cp:lastPrinted>2017-10-17T09:33:27Z</cp:lastPrinted>
  <dcterms:created xsi:type="dcterms:W3CDTF">2011-07-27T07:00:35Z</dcterms:created>
  <dcterms:modified xsi:type="dcterms:W3CDTF">2017-10-17T09:43:31Z</dcterms:modified>
</cp:coreProperties>
</file>